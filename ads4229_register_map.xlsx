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_DELAY_CTRL" sheetId="1" state="visible" r:id="rId1"/>
    <sheet xmlns:r="http://schemas.openxmlformats.org/officeDocument/2006/relationships" name="DMA" sheetId="2" state="visible" r:id="rId2"/>
    <sheet xmlns:r="http://schemas.openxmlformats.org/officeDocument/2006/relationships" name="SPI" sheetId="3" state="visible" r:id="rId3"/>
    <sheet xmlns:r="http://schemas.openxmlformats.org/officeDocument/2006/relationships" name="PIN_CTRL" sheetId="4" state="visible" r:id="rId4"/>
    <sheet xmlns:r="http://schemas.openxmlformats.org/officeDocument/2006/relationships" name="ACCUMULATOR" sheetId="5" state="visible" r:id="rId5"/>
  </sheets>
  <definedNames>
    <definedName name="_xlnm._FilterDatabase" localSheetId="0" hidden="1">'IO_DELAY_CTRL'!$A$1:$I$417</definedName>
    <definedName name="_xlnm.Print_Titles" localSheetId="0">'IO_DELAY_CTRL'!$1:$1</definedName>
    <definedName name="_xlnm._FilterDatabase" localSheetId="1" hidden="1">'DMA'!$A$1:$I$129</definedName>
    <definedName name="_xlnm.Print_Titles" localSheetId="1">'DMA'!$1:$1</definedName>
    <definedName name="_xlnm._FilterDatabase" localSheetId="2" hidden="1">'SPI'!$A$1:$I$129</definedName>
    <definedName name="_xlnm.Print_Titles" localSheetId="2">'SPI'!$1:$1</definedName>
    <definedName name="_xlnm._FilterDatabase" localSheetId="3" hidden="1">'PIN_CTRL'!$A$1:$I$65</definedName>
    <definedName name="_xlnm.Print_Titles" localSheetId="3">'PIN_CTRL'!$1:$1</definedName>
    <definedName name="_xlnm._FilterDatabase" localSheetId="4" hidden="1">'ACCUMULATOR'!$A$1:$I$513</definedName>
    <definedName name="_xlnm.Print_Titles" localSheetId="4">'ACCUMULATOR'!$1:$1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7E6E6"/>
      </patternFill>
    </fill>
    <fill>
      <patternFill patternType="solid">
        <fgColor rgb="00E2F0D9"/>
      </patternFill>
    </fill>
    <fill>
      <patternFill patternType="solid">
        <fgColor rgb="00EAF2F8"/>
      </patternFill>
    </fill>
    <fill>
      <patternFill patternType="solid">
        <fgColor rgb="00F7FAFC"/>
      </patternFill>
    </fill>
    <fill>
      <patternFill patternType="solid">
        <fgColor rgb="00D9EAF7"/>
      </patternFill>
    </fill>
    <fill>
      <patternFill patternType="solid">
        <fgColor rgb="00FCE4D6"/>
      </patternFill>
    </fill>
  </fills>
  <borders count="4">
    <border>
      <left/>
      <right/>
      <top/>
      <bottom/>
      <diagonal/>
    </border>
    <border>
      <left style="thin">
        <color rgb="00B7C9DA"/>
      </left>
      <right style="thin">
        <color rgb="00B7C9DA"/>
      </right>
      <top style="thin">
        <color rgb="00B7C9DA"/>
      </top>
      <bottom style="medium">
        <color rgb="005B7894"/>
      </bottom>
    </border>
    <border>
      <left style="thin">
        <color rgb="00B7C9DA"/>
      </left>
      <right style="thin">
        <color rgb="00B7C9DA"/>
      </right>
      <top style="thin">
        <color rgb="00B7C9DA"/>
      </top>
      <bottom style="thin">
        <color rgb="00B7C9DA"/>
      </bottom>
    </border>
    <border>
      <left style="thin">
        <color rgb="00B7C9DA"/>
      </left>
      <right style="thin">
        <color rgb="00B7C9DA"/>
      </right>
      <top style="medium">
        <color rgb="005B7894"/>
      </top>
      <bottom style="thin">
        <color rgb="00B7C9DA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5" borderId="3" applyAlignment="1" pivotButton="0" quotePrefix="0" xfId="0">
      <alignment horizontal="left" vertical="center"/>
    </xf>
    <xf numFmtId="0" fontId="2" fillId="5" borderId="3" applyAlignment="1" pivotButton="0" quotePrefix="0" xfId="0">
      <alignment horizontal="center" vertical="center"/>
    </xf>
    <xf numFmtId="0" fontId="2" fillId="3" borderId="3" applyAlignment="1" pivotButton="0" quotePrefix="0" xfId="0">
      <alignment horizontal="left" vertical="center"/>
    </xf>
    <xf numFmtId="0" fontId="2" fillId="3" borderId="3" applyAlignment="1" pivotButton="0" quotePrefix="0" xfId="0">
      <alignment horizontal="center" vertical="center"/>
    </xf>
    <xf numFmtId="0" fontId="2" fillId="3" borderId="3" applyAlignment="1" pivotButton="0" quotePrefix="0" xfId="0">
      <alignment horizontal="left" vertical="center" wrapText="1"/>
    </xf>
    <xf numFmtId="0" fontId="2" fillId="5" borderId="2" applyAlignment="1" pivotButton="0" quotePrefix="0" xfId="0">
      <alignment horizontal="left" vertical="center"/>
    </xf>
    <xf numFmtId="0" fontId="2" fillId="5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2" fillId="6" borderId="3" applyAlignment="1" pivotButton="0" quotePrefix="0" xfId="0">
      <alignment horizontal="left" vertical="center"/>
    </xf>
    <xf numFmtId="0" fontId="2" fillId="6" borderId="3" applyAlignment="1" pivotButton="0" quotePrefix="0" xfId="0">
      <alignment horizontal="center" vertical="center"/>
    </xf>
    <xf numFmtId="0" fontId="2" fillId="6" borderId="2" applyAlignment="1" pivotButton="0" quotePrefix="0" xfId="0">
      <alignment horizontal="left" vertical="center"/>
    </xf>
    <xf numFmtId="0" fontId="2" fillId="6" borderId="2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7" borderId="2" applyAlignment="1" pivotButton="0" quotePrefix="0" xfId="0">
      <alignment horizontal="left" vertical="center"/>
    </xf>
    <xf numFmtId="0" fontId="2" fillId="7" borderId="2" applyAlignment="1" pivotButton="0" quotePrefix="0" xfId="0">
      <alignment horizontal="center" vertical="center"/>
    </xf>
    <xf numFmtId="0" fontId="2" fillId="7" borderId="2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 wrapText="1"/>
    </xf>
    <xf numFmtId="0" fontId="2" fillId="4" borderId="3" applyAlignment="1" pivotButton="0" quotePrefix="0" xfId="0">
      <alignment horizontal="left" vertical="center"/>
    </xf>
    <xf numFmtId="0" fontId="2" fillId="4" borderId="3" applyAlignment="1" pivotButton="0" quotePrefix="0" xfId="0">
      <alignment horizontal="center" vertical="center"/>
    </xf>
    <xf numFmtId="0" fontId="2" fillId="4" borderId="3" applyAlignment="1" pivotButton="0" quotePrefix="0" xfId="0">
      <alignment horizontal="left" vertical="center" wrapText="1"/>
    </xf>
    <xf numFmtId="0" fontId="2" fillId="8" borderId="2" applyAlignment="1" pivotButton="0" quotePrefix="0" xfId="0">
      <alignment horizontal="left" vertical="center"/>
    </xf>
    <xf numFmtId="0" fontId="2" fillId="8" borderId="2" applyAlignment="1" pivotButton="0" quotePrefix="0" xfId="0">
      <alignment horizontal="center" vertical="center"/>
    </xf>
    <xf numFmtId="0" fontId="2" fillId="8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4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6" customWidth="1" min="3" max="3"/>
    <col width="15" customWidth="1" min="4" max="4"/>
    <col width="8" customWidth="1" min="5" max="5"/>
    <col width="14" customWidth="1" min="6" max="6"/>
    <col width="24" customWidth="1" min="7" max="7"/>
    <col width="15" customWidth="1" min="8" max="8"/>
    <col width="52" customWidth="1" min="9" max="9"/>
  </cols>
  <sheetData>
    <row r="1" ht="32" customHeight="1">
      <c r="A1" s="1" t="inlineStr">
        <is>
          <t>Register Name</t>
        </is>
      </c>
      <c r="B1" s="1" t="inlineStr">
        <is>
          <t>Offset (hex)</t>
        </is>
      </c>
      <c r="C1" s="1" t="inlineStr">
        <is>
          <t>Reg Value
(hex)</t>
        </is>
      </c>
      <c r="D1" s="1" t="inlineStr">
        <is>
          <t>Byte Value
(hex)</t>
        </is>
      </c>
      <c r="E1" s="1" t="inlineStr">
        <is>
          <t>Bits</t>
        </is>
      </c>
      <c r="F1" s="1" t="inlineStr">
        <is>
          <t>Bit Value
(hex)</t>
        </is>
      </c>
      <c r="G1" s="1" t="inlineStr">
        <is>
          <t>Field Name</t>
        </is>
      </c>
      <c r="H1" s="1" t="inlineStr">
        <is>
          <t>Memory Access</t>
        </is>
      </c>
      <c r="I1" s="1" t="inlineStr">
        <is>
          <t>Description</t>
        </is>
      </c>
    </row>
    <row r="2">
      <c r="A2" s="2" t="inlineStr">
        <is>
          <t>PA_DELAY_CTRL_0</t>
        </is>
      </c>
      <c r="B2" s="3" t="str">
        <f>DEC2HEX(0,4)&amp;"h"</f>
        <v>0000h</v>
      </c>
      <c r="C2" s="3" t="str">
        <f>LEFT(D2,2)&amp;LEFT(D10,2)&amp;LEFT(D18,2)&amp;LEFT(D26,2)&amp;"h"</f>
        <v>00000000h</v>
      </c>
      <c r="D2" s="3" t="str">
        <f>DEC2HEX(128*F2+64*F3+32*F4+16*F5+8*F6+4*F7+2*F8+1*F9,2)&amp;"h"</f>
        <v>00h</v>
      </c>
      <c r="E2" s="3" t="n">
        <v>31</v>
      </c>
      <c r="F2" s="3" t="n">
        <v>0</v>
      </c>
      <c r="G2" s="4" t="inlineStr">
        <is>
          <t>RESERVED</t>
        </is>
      </c>
      <c r="H2" s="5" t="inlineStr">
        <is>
          <t>RO</t>
        </is>
      </c>
      <c r="I2" s="6" t="inlineStr">
        <is>
          <t>Reserved; keep at reset value.</t>
        </is>
      </c>
    </row>
    <row r="3">
      <c r="A3" s="7" t="n"/>
      <c r="B3" s="8" t="n"/>
      <c r="C3" s="8" t="n"/>
      <c r="D3" s="8" t="n"/>
      <c r="E3" s="8" t="n">
        <v>30</v>
      </c>
      <c r="F3" s="8" t="n">
        <v>0</v>
      </c>
      <c r="G3" s="9" t="n"/>
      <c r="H3" s="10" t="n"/>
      <c r="I3" s="11" t="n"/>
    </row>
    <row r="4">
      <c r="A4" s="7" t="n"/>
      <c r="B4" s="8" t="n"/>
      <c r="C4" s="8" t="n"/>
      <c r="D4" s="8" t="n"/>
      <c r="E4" s="8" t="n">
        <v>29</v>
      </c>
      <c r="F4" s="8" t="n">
        <v>0</v>
      </c>
      <c r="G4" s="9" t="n"/>
      <c r="H4" s="10" t="n"/>
      <c r="I4" s="11" t="n"/>
    </row>
    <row r="5">
      <c r="A5" s="7" t="n"/>
      <c r="B5" s="8" t="n"/>
      <c r="C5" s="8" t="n"/>
      <c r="D5" s="8" t="n"/>
      <c r="E5" s="8" t="n">
        <v>28</v>
      </c>
      <c r="F5" s="8" t="n">
        <v>0</v>
      </c>
      <c r="G5" s="12" t="inlineStr">
        <is>
          <t>da3_delay_value</t>
        </is>
      </c>
      <c r="H5" s="13" t="inlineStr">
        <is>
          <t>RW</t>
        </is>
      </c>
      <c r="I5" s="14" t="inlineStr"/>
    </row>
    <row r="6">
      <c r="A6" s="7" t="n"/>
      <c r="B6" s="8" t="n"/>
      <c r="C6" s="8" t="n"/>
      <c r="D6" s="8" t="n"/>
      <c r="E6" s="8" t="n">
        <v>27</v>
      </c>
      <c r="F6" s="8" t="n">
        <v>0</v>
      </c>
      <c r="G6" s="12" t="n"/>
      <c r="H6" s="13" t="n"/>
      <c r="I6" s="14" t="n"/>
    </row>
    <row r="7">
      <c r="A7" s="7" t="n"/>
      <c r="B7" s="8" t="n"/>
      <c r="C7" s="8" t="n"/>
      <c r="D7" s="8" t="n"/>
      <c r="E7" s="8" t="n">
        <v>26</v>
      </c>
      <c r="F7" s="8" t="n">
        <v>0</v>
      </c>
      <c r="G7" s="12" t="n"/>
      <c r="H7" s="13" t="n"/>
      <c r="I7" s="14" t="n"/>
    </row>
    <row r="8">
      <c r="A8" s="7" t="n"/>
      <c r="B8" s="8" t="n"/>
      <c r="C8" s="8" t="n"/>
      <c r="D8" s="8" t="n"/>
      <c r="E8" s="8" t="n">
        <v>25</v>
      </c>
      <c r="F8" s="8" t="n">
        <v>0</v>
      </c>
      <c r="G8" s="12" t="n"/>
      <c r="H8" s="13" t="n"/>
      <c r="I8" s="14" t="n"/>
    </row>
    <row r="9">
      <c r="A9" s="7" t="n"/>
      <c r="B9" s="8" t="n"/>
      <c r="C9" s="8" t="n"/>
      <c r="D9" s="8" t="n"/>
      <c r="E9" s="8" t="n">
        <v>24</v>
      </c>
      <c r="F9" s="8" t="n">
        <v>0</v>
      </c>
      <c r="G9" s="12" t="n"/>
      <c r="H9" s="13" t="n"/>
      <c r="I9" s="14" t="n"/>
    </row>
    <row r="10">
      <c r="A10" s="7" t="n"/>
      <c r="B10" s="8" t="n"/>
      <c r="C10" s="8" t="n"/>
      <c r="D10" s="8" t="str">
        <f>DEC2HEX(128*F10+64*F11+32*F12+16*F13+8*F14+4*F15+2*F16+1*F17,2)&amp;"h"</f>
        <v>00h</v>
      </c>
      <c r="E10" s="8" t="n">
        <v>23</v>
      </c>
      <c r="F10" s="8" t="n">
        <v>0</v>
      </c>
      <c r="G10" s="9" t="inlineStr">
        <is>
          <t>RESERVED</t>
        </is>
      </c>
      <c r="H10" s="10" t="inlineStr">
        <is>
          <t>RO</t>
        </is>
      </c>
      <c r="I10" s="11" t="inlineStr">
        <is>
          <t>Reserved; keep at reset value.</t>
        </is>
      </c>
    </row>
    <row r="11">
      <c r="A11" s="7" t="n"/>
      <c r="B11" s="8" t="n"/>
      <c r="C11" s="8" t="n"/>
      <c r="D11" s="8" t="n"/>
      <c r="E11" s="8" t="n">
        <v>22</v>
      </c>
      <c r="F11" s="8" t="n">
        <v>0</v>
      </c>
      <c r="G11" s="9" t="n"/>
      <c r="H11" s="10" t="n"/>
      <c r="I11" s="11" t="n"/>
    </row>
    <row r="12">
      <c r="A12" s="7" t="n"/>
      <c r="B12" s="8" t="n"/>
      <c r="C12" s="8" t="n"/>
      <c r="D12" s="8" t="n"/>
      <c r="E12" s="8" t="n">
        <v>21</v>
      </c>
      <c r="F12" s="8" t="n">
        <v>0</v>
      </c>
      <c r="G12" s="9" t="n"/>
      <c r="H12" s="10" t="n"/>
      <c r="I12" s="11" t="n"/>
    </row>
    <row r="13">
      <c r="A13" s="7" t="n"/>
      <c r="B13" s="8" t="n"/>
      <c r="C13" s="8" t="n"/>
      <c r="D13" s="8" t="n"/>
      <c r="E13" s="8" t="n">
        <v>20</v>
      </c>
      <c r="F13" s="8" t="n">
        <v>0</v>
      </c>
      <c r="G13" s="12" t="inlineStr">
        <is>
          <t>da2_delay_value</t>
        </is>
      </c>
      <c r="H13" s="13" t="inlineStr">
        <is>
          <t>RW</t>
        </is>
      </c>
      <c r="I13" s="14" t="inlineStr"/>
    </row>
    <row r="14">
      <c r="A14" s="7" t="n"/>
      <c r="B14" s="8" t="n"/>
      <c r="C14" s="8" t="n"/>
      <c r="D14" s="8" t="n"/>
      <c r="E14" s="8" t="n">
        <v>19</v>
      </c>
      <c r="F14" s="8" t="n">
        <v>0</v>
      </c>
      <c r="G14" s="12" t="n"/>
      <c r="H14" s="13" t="n"/>
      <c r="I14" s="14" t="n"/>
    </row>
    <row r="15">
      <c r="A15" s="7" t="n"/>
      <c r="B15" s="8" t="n"/>
      <c r="C15" s="8" t="n"/>
      <c r="D15" s="8" t="n"/>
      <c r="E15" s="8" t="n">
        <v>18</v>
      </c>
      <c r="F15" s="8" t="n">
        <v>0</v>
      </c>
      <c r="G15" s="12" t="n"/>
      <c r="H15" s="13" t="n"/>
      <c r="I15" s="14" t="n"/>
    </row>
    <row r="16">
      <c r="A16" s="7" t="n"/>
      <c r="B16" s="8" t="n"/>
      <c r="C16" s="8" t="n"/>
      <c r="D16" s="8" t="n"/>
      <c r="E16" s="8" t="n">
        <v>17</v>
      </c>
      <c r="F16" s="8" t="n">
        <v>0</v>
      </c>
      <c r="G16" s="12" t="n"/>
      <c r="H16" s="13" t="n"/>
      <c r="I16" s="14" t="n"/>
    </row>
    <row r="17">
      <c r="A17" s="7" t="n"/>
      <c r="B17" s="8" t="n"/>
      <c r="C17" s="8" t="n"/>
      <c r="D17" s="8" t="n"/>
      <c r="E17" s="8" t="n">
        <v>16</v>
      </c>
      <c r="F17" s="8" t="n">
        <v>0</v>
      </c>
      <c r="G17" s="12" t="n"/>
      <c r="H17" s="13" t="n"/>
      <c r="I17" s="14" t="n"/>
    </row>
    <row r="18">
      <c r="A18" s="7" t="n"/>
      <c r="B18" s="8" t="n"/>
      <c r="C18" s="8" t="n"/>
      <c r="D18" s="8" t="str">
        <f>DEC2HEX(128*F18+64*F19+32*F20+16*F21+8*F22+4*F23+2*F24+1*F25,2)&amp;"h"</f>
        <v>00h</v>
      </c>
      <c r="E18" s="8" t="n">
        <v>15</v>
      </c>
      <c r="F18" s="8" t="n">
        <v>0</v>
      </c>
      <c r="G18" s="9" t="inlineStr">
        <is>
          <t>RESERVED</t>
        </is>
      </c>
      <c r="H18" s="10" t="inlineStr">
        <is>
          <t>RO</t>
        </is>
      </c>
      <c r="I18" s="11" t="inlineStr">
        <is>
          <t>Reserved; keep at reset value.</t>
        </is>
      </c>
    </row>
    <row r="19">
      <c r="A19" s="7" t="n"/>
      <c r="B19" s="8" t="n"/>
      <c r="C19" s="8" t="n"/>
      <c r="D19" s="8" t="n"/>
      <c r="E19" s="8" t="n">
        <v>14</v>
      </c>
      <c r="F19" s="8" t="n">
        <v>0</v>
      </c>
      <c r="G19" s="9" t="n"/>
      <c r="H19" s="10" t="n"/>
      <c r="I19" s="11" t="n"/>
    </row>
    <row r="20">
      <c r="A20" s="7" t="n"/>
      <c r="B20" s="8" t="n"/>
      <c r="C20" s="8" t="n"/>
      <c r="D20" s="8" t="n"/>
      <c r="E20" s="8" t="n">
        <v>13</v>
      </c>
      <c r="F20" s="8" t="n">
        <v>0</v>
      </c>
      <c r="G20" s="9" t="n"/>
      <c r="H20" s="10" t="n"/>
      <c r="I20" s="11" t="n"/>
    </row>
    <row r="21">
      <c r="A21" s="7" t="n"/>
      <c r="B21" s="8" t="n"/>
      <c r="C21" s="8" t="n"/>
      <c r="D21" s="8" t="n"/>
      <c r="E21" s="8" t="n">
        <v>12</v>
      </c>
      <c r="F21" s="8" t="n">
        <v>0</v>
      </c>
      <c r="G21" s="12" t="inlineStr">
        <is>
          <t>da1_delay_value</t>
        </is>
      </c>
      <c r="H21" s="13" t="inlineStr">
        <is>
          <t>RW</t>
        </is>
      </c>
      <c r="I21" s="14" t="inlineStr"/>
    </row>
    <row r="22">
      <c r="A22" s="7" t="n"/>
      <c r="B22" s="8" t="n"/>
      <c r="C22" s="8" t="n"/>
      <c r="D22" s="8" t="n"/>
      <c r="E22" s="8" t="n">
        <v>11</v>
      </c>
      <c r="F22" s="8" t="n">
        <v>0</v>
      </c>
      <c r="G22" s="12" t="n"/>
      <c r="H22" s="13" t="n"/>
      <c r="I22" s="14" t="n"/>
    </row>
    <row r="23">
      <c r="A23" s="7" t="n"/>
      <c r="B23" s="8" t="n"/>
      <c r="C23" s="8" t="n"/>
      <c r="D23" s="8" t="n"/>
      <c r="E23" s="8" t="n">
        <v>10</v>
      </c>
      <c r="F23" s="8" t="n">
        <v>0</v>
      </c>
      <c r="G23" s="12" t="n"/>
      <c r="H23" s="13" t="n"/>
      <c r="I23" s="14" t="n"/>
    </row>
    <row r="24">
      <c r="A24" s="7" t="n"/>
      <c r="B24" s="8" t="n"/>
      <c r="C24" s="8" t="n"/>
      <c r="D24" s="8" t="n"/>
      <c r="E24" s="8" t="n">
        <v>9</v>
      </c>
      <c r="F24" s="8" t="n">
        <v>0</v>
      </c>
      <c r="G24" s="12" t="n"/>
      <c r="H24" s="13" t="n"/>
      <c r="I24" s="14" t="n"/>
    </row>
    <row r="25">
      <c r="A25" s="7" t="n"/>
      <c r="B25" s="8" t="n"/>
      <c r="C25" s="8" t="n"/>
      <c r="D25" s="8" t="n"/>
      <c r="E25" s="8" t="n">
        <v>8</v>
      </c>
      <c r="F25" s="8" t="n">
        <v>0</v>
      </c>
      <c r="G25" s="12" t="n"/>
      <c r="H25" s="13" t="n"/>
      <c r="I25" s="14" t="n"/>
    </row>
    <row r="26">
      <c r="A26" s="7" t="n"/>
      <c r="B26" s="8" t="n"/>
      <c r="C26" s="8" t="n"/>
      <c r="D26" s="8" t="str">
        <f>DEC2HEX(128*F26+64*F27+32*F28+16*F29+8*F30+4*F31+2*F32+1*F33,2)&amp;"h"</f>
        <v>00h</v>
      </c>
      <c r="E26" s="8" t="n">
        <v>7</v>
      </c>
      <c r="F26" s="8" t="n">
        <v>0</v>
      </c>
      <c r="G26" s="9" t="inlineStr">
        <is>
          <t>RESERVED</t>
        </is>
      </c>
      <c r="H26" s="10" t="inlineStr">
        <is>
          <t>RO</t>
        </is>
      </c>
      <c r="I26" s="11" t="inlineStr">
        <is>
          <t>Reserved; keep at reset value.</t>
        </is>
      </c>
    </row>
    <row r="27">
      <c r="A27" s="7" t="n"/>
      <c r="B27" s="8" t="n"/>
      <c r="C27" s="8" t="n"/>
      <c r="D27" s="8" t="n"/>
      <c r="E27" s="8" t="n">
        <v>6</v>
      </c>
      <c r="F27" s="8" t="n">
        <v>0</v>
      </c>
      <c r="G27" s="9" t="n"/>
      <c r="H27" s="10" t="n"/>
      <c r="I27" s="11" t="n"/>
    </row>
    <row r="28">
      <c r="A28" s="7" t="n"/>
      <c r="B28" s="8" t="n"/>
      <c r="C28" s="8" t="n"/>
      <c r="D28" s="8" t="n"/>
      <c r="E28" s="8" t="n">
        <v>5</v>
      </c>
      <c r="F28" s="8" t="n">
        <v>0</v>
      </c>
      <c r="G28" s="9" t="n"/>
      <c r="H28" s="10" t="n"/>
      <c r="I28" s="11" t="n"/>
    </row>
    <row r="29">
      <c r="A29" s="7" t="n"/>
      <c r="B29" s="8" t="n"/>
      <c r="C29" s="8" t="n"/>
      <c r="D29" s="8" t="n"/>
      <c r="E29" s="8" t="n">
        <v>4</v>
      </c>
      <c r="F29" s="8" t="n">
        <v>0</v>
      </c>
      <c r="G29" s="12" t="inlineStr">
        <is>
          <t>da0_delay_value</t>
        </is>
      </c>
      <c r="H29" s="13" t="inlineStr">
        <is>
          <t>RW</t>
        </is>
      </c>
      <c r="I29" s="14" t="inlineStr"/>
    </row>
    <row r="30">
      <c r="A30" s="7" t="n"/>
      <c r="B30" s="8" t="n"/>
      <c r="C30" s="8" t="n"/>
      <c r="D30" s="8" t="n"/>
      <c r="E30" s="8" t="n">
        <v>3</v>
      </c>
      <c r="F30" s="8" t="n">
        <v>0</v>
      </c>
      <c r="G30" s="12" t="n"/>
      <c r="H30" s="13" t="n"/>
      <c r="I30" s="14" t="n"/>
    </row>
    <row r="31">
      <c r="A31" s="7" t="n"/>
      <c r="B31" s="8" t="n"/>
      <c r="C31" s="8" t="n"/>
      <c r="D31" s="8" t="n"/>
      <c r="E31" s="8" t="n">
        <v>2</v>
      </c>
      <c r="F31" s="8" t="n">
        <v>0</v>
      </c>
      <c r="G31" s="12" t="n"/>
      <c r="H31" s="13" t="n"/>
      <c r="I31" s="14" t="n"/>
    </row>
    <row r="32">
      <c r="A32" s="7" t="n"/>
      <c r="B32" s="8" t="n"/>
      <c r="C32" s="8" t="n"/>
      <c r="D32" s="8" t="n"/>
      <c r="E32" s="8" t="n">
        <v>1</v>
      </c>
      <c r="F32" s="8" t="n">
        <v>0</v>
      </c>
      <c r="G32" s="12" t="n"/>
      <c r="H32" s="13" t="n"/>
      <c r="I32" s="14" t="n"/>
    </row>
    <row r="33">
      <c r="A33" s="15" t="n"/>
      <c r="B33" s="16" t="n"/>
      <c r="C33" s="16" t="n"/>
      <c r="D33" s="16" t="n"/>
      <c r="E33" s="16" t="n">
        <v>0</v>
      </c>
      <c r="F33" s="16" t="n">
        <v>0</v>
      </c>
      <c r="G33" s="17" t="n"/>
      <c r="H33" s="18" t="n"/>
      <c r="I33" s="19" t="n"/>
    </row>
    <row r="34">
      <c r="A34" s="20" t="inlineStr">
        <is>
          <t>PA_DELAY_CTRL_1</t>
        </is>
      </c>
      <c r="B34" s="21" t="str">
        <f>DEC2HEX(4,4)&amp;"h"</f>
        <v>0004h</v>
      </c>
      <c r="C34" s="21" t="str">
        <f>LEFT(D34,2)&amp;LEFT(D42,2)&amp;LEFT(D50,2)&amp;LEFT(D58,2)&amp;"h"</f>
        <v>00000000h</v>
      </c>
      <c r="D34" s="21" t="str">
        <f>DEC2HEX(128*F34+64*F35+32*F36+16*F37+8*F38+4*F39+2*F40+1*F41,2)&amp;"h"</f>
        <v>00h</v>
      </c>
      <c r="E34" s="21" t="n">
        <v>31</v>
      </c>
      <c r="F34" s="21" t="n">
        <v>0</v>
      </c>
      <c r="G34" s="4" t="inlineStr">
        <is>
          <t>RESERVED</t>
        </is>
      </c>
      <c r="H34" s="5" t="inlineStr">
        <is>
          <t>RO</t>
        </is>
      </c>
      <c r="I34" s="6" t="inlineStr">
        <is>
          <t>Reserved; keep at reset value.</t>
        </is>
      </c>
    </row>
    <row r="35">
      <c r="A35" s="22" t="n"/>
      <c r="B35" s="23" t="n"/>
      <c r="C35" s="23" t="n"/>
      <c r="D35" s="23" t="n"/>
      <c r="E35" s="23" t="n">
        <v>30</v>
      </c>
      <c r="F35" s="23" t="n">
        <v>0</v>
      </c>
      <c r="G35" s="9" t="n"/>
      <c r="H35" s="10" t="n"/>
      <c r="I35" s="11" t="n"/>
    </row>
    <row r="36">
      <c r="A36" s="22" t="n"/>
      <c r="B36" s="23" t="n"/>
      <c r="C36" s="23" t="n"/>
      <c r="D36" s="23" t="n"/>
      <c r="E36" s="23" t="n">
        <v>29</v>
      </c>
      <c r="F36" s="23" t="n">
        <v>0</v>
      </c>
      <c r="G36" s="9" t="n"/>
      <c r="H36" s="10" t="n"/>
      <c r="I36" s="11" t="n"/>
    </row>
    <row r="37">
      <c r="A37" s="22" t="n"/>
      <c r="B37" s="23" t="n"/>
      <c r="C37" s="23" t="n"/>
      <c r="D37" s="23" t="n"/>
      <c r="E37" s="23" t="n">
        <v>28</v>
      </c>
      <c r="F37" s="23" t="n">
        <v>0</v>
      </c>
      <c r="G37" s="12" t="inlineStr">
        <is>
          <t>da7_delay_value</t>
        </is>
      </c>
      <c r="H37" s="13" t="inlineStr">
        <is>
          <t>RW</t>
        </is>
      </c>
      <c r="I37" s="14" t="inlineStr"/>
    </row>
    <row r="38">
      <c r="A38" s="22" t="n"/>
      <c r="B38" s="23" t="n"/>
      <c r="C38" s="23" t="n"/>
      <c r="D38" s="23" t="n"/>
      <c r="E38" s="23" t="n">
        <v>27</v>
      </c>
      <c r="F38" s="23" t="n">
        <v>0</v>
      </c>
      <c r="G38" s="12" t="n"/>
      <c r="H38" s="13" t="n"/>
      <c r="I38" s="14" t="n"/>
    </row>
    <row r="39">
      <c r="A39" s="22" t="n"/>
      <c r="B39" s="23" t="n"/>
      <c r="C39" s="23" t="n"/>
      <c r="D39" s="23" t="n"/>
      <c r="E39" s="23" t="n">
        <v>26</v>
      </c>
      <c r="F39" s="23" t="n">
        <v>0</v>
      </c>
      <c r="G39" s="12" t="n"/>
      <c r="H39" s="13" t="n"/>
      <c r="I39" s="14" t="n"/>
    </row>
    <row r="40">
      <c r="A40" s="22" t="n"/>
      <c r="B40" s="23" t="n"/>
      <c r="C40" s="23" t="n"/>
      <c r="D40" s="23" t="n"/>
      <c r="E40" s="23" t="n">
        <v>25</v>
      </c>
      <c r="F40" s="23" t="n">
        <v>0</v>
      </c>
      <c r="G40" s="12" t="n"/>
      <c r="H40" s="13" t="n"/>
      <c r="I40" s="14" t="n"/>
    </row>
    <row r="41">
      <c r="A41" s="22" t="n"/>
      <c r="B41" s="23" t="n"/>
      <c r="C41" s="23" t="n"/>
      <c r="D41" s="23" t="n"/>
      <c r="E41" s="23" t="n">
        <v>24</v>
      </c>
      <c r="F41" s="23" t="n">
        <v>0</v>
      </c>
      <c r="G41" s="12" t="n"/>
      <c r="H41" s="13" t="n"/>
      <c r="I41" s="14" t="n"/>
    </row>
    <row r="42">
      <c r="A42" s="22" t="n"/>
      <c r="B42" s="23" t="n"/>
      <c r="C42" s="23" t="n"/>
      <c r="D42" s="23" t="str">
        <f>DEC2HEX(128*F42+64*F43+32*F44+16*F45+8*F46+4*F47+2*F48+1*F49,2)&amp;"h"</f>
        <v>00h</v>
      </c>
      <c r="E42" s="23" t="n">
        <v>23</v>
      </c>
      <c r="F42" s="23" t="n">
        <v>0</v>
      </c>
      <c r="G42" s="9" t="inlineStr">
        <is>
          <t>RESERVED</t>
        </is>
      </c>
      <c r="H42" s="10" t="inlineStr">
        <is>
          <t>RO</t>
        </is>
      </c>
      <c r="I42" s="11" t="inlineStr">
        <is>
          <t>Reserved; keep at reset value.</t>
        </is>
      </c>
    </row>
    <row r="43">
      <c r="A43" s="22" t="n"/>
      <c r="B43" s="23" t="n"/>
      <c r="C43" s="23" t="n"/>
      <c r="D43" s="23" t="n"/>
      <c r="E43" s="23" t="n">
        <v>22</v>
      </c>
      <c r="F43" s="23" t="n">
        <v>0</v>
      </c>
      <c r="G43" s="9" t="n"/>
      <c r="H43" s="10" t="n"/>
      <c r="I43" s="11" t="n"/>
    </row>
    <row r="44">
      <c r="A44" s="22" t="n"/>
      <c r="B44" s="23" t="n"/>
      <c r="C44" s="23" t="n"/>
      <c r="D44" s="23" t="n"/>
      <c r="E44" s="23" t="n">
        <v>21</v>
      </c>
      <c r="F44" s="23" t="n">
        <v>0</v>
      </c>
      <c r="G44" s="9" t="n"/>
      <c r="H44" s="10" t="n"/>
      <c r="I44" s="11" t="n"/>
    </row>
    <row r="45">
      <c r="A45" s="22" t="n"/>
      <c r="B45" s="23" t="n"/>
      <c r="C45" s="23" t="n"/>
      <c r="D45" s="23" t="n"/>
      <c r="E45" s="23" t="n">
        <v>20</v>
      </c>
      <c r="F45" s="23" t="n">
        <v>0</v>
      </c>
      <c r="G45" s="12" t="inlineStr">
        <is>
          <t>da6_delay_value</t>
        </is>
      </c>
      <c r="H45" s="13" t="inlineStr">
        <is>
          <t>RW</t>
        </is>
      </c>
      <c r="I45" s="14" t="inlineStr"/>
    </row>
    <row r="46">
      <c r="A46" s="22" t="n"/>
      <c r="B46" s="23" t="n"/>
      <c r="C46" s="23" t="n"/>
      <c r="D46" s="23" t="n"/>
      <c r="E46" s="23" t="n">
        <v>19</v>
      </c>
      <c r="F46" s="23" t="n">
        <v>0</v>
      </c>
      <c r="G46" s="12" t="n"/>
      <c r="H46" s="13" t="n"/>
      <c r="I46" s="14" t="n"/>
    </row>
    <row r="47">
      <c r="A47" s="22" t="n"/>
      <c r="B47" s="23" t="n"/>
      <c r="C47" s="23" t="n"/>
      <c r="D47" s="23" t="n"/>
      <c r="E47" s="23" t="n">
        <v>18</v>
      </c>
      <c r="F47" s="23" t="n">
        <v>0</v>
      </c>
      <c r="G47" s="12" t="n"/>
      <c r="H47" s="13" t="n"/>
      <c r="I47" s="14" t="n"/>
    </row>
    <row r="48">
      <c r="A48" s="22" t="n"/>
      <c r="B48" s="23" t="n"/>
      <c r="C48" s="23" t="n"/>
      <c r="D48" s="23" t="n"/>
      <c r="E48" s="23" t="n">
        <v>17</v>
      </c>
      <c r="F48" s="23" t="n">
        <v>0</v>
      </c>
      <c r="G48" s="12" t="n"/>
      <c r="H48" s="13" t="n"/>
      <c r="I48" s="14" t="n"/>
    </row>
    <row r="49">
      <c r="A49" s="22" t="n"/>
      <c r="B49" s="23" t="n"/>
      <c r="C49" s="23" t="n"/>
      <c r="D49" s="23" t="n"/>
      <c r="E49" s="23" t="n">
        <v>16</v>
      </c>
      <c r="F49" s="23" t="n">
        <v>0</v>
      </c>
      <c r="G49" s="12" t="n"/>
      <c r="H49" s="13" t="n"/>
      <c r="I49" s="14" t="n"/>
    </row>
    <row r="50">
      <c r="A50" s="22" t="n"/>
      <c r="B50" s="23" t="n"/>
      <c r="C50" s="23" t="n"/>
      <c r="D50" s="23" t="str">
        <f>DEC2HEX(128*F50+64*F51+32*F52+16*F53+8*F54+4*F55+2*F56+1*F57,2)&amp;"h"</f>
        <v>00h</v>
      </c>
      <c r="E50" s="23" t="n">
        <v>15</v>
      </c>
      <c r="F50" s="23" t="n">
        <v>0</v>
      </c>
      <c r="G50" s="9" t="inlineStr">
        <is>
          <t>RESERVED</t>
        </is>
      </c>
      <c r="H50" s="10" t="inlineStr">
        <is>
          <t>RO</t>
        </is>
      </c>
      <c r="I50" s="11" t="inlineStr">
        <is>
          <t>Reserved; keep at reset value.</t>
        </is>
      </c>
    </row>
    <row r="51">
      <c r="A51" s="22" t="n"/>
      <c r="B51" s="23" t="n"/>
      <c r="C51" s="23" t="n"/>
      <c r="D51" s="23" t="n"/>
      <c r="E51" s="23" t="n">
        <v>14</v>
      </c>
      <c r="F51" s="23" t="n">
        <v>0</v>
      </c>
      <c r="G51" s="9" t="n"/>
      <c r="H51" s="10" t="n"/>
      <c r="I51" s="11" t="n"/>
    </row>
    <row r="52">
      <c r="A52" s="22" t="n"/>
      <c r="B52" s="23" t="n"/>
      <c r="C52" s="23" t="n"/>
      <c r="D52" s="23" t="n"/>
      <c r="E52" s="23" t="n">
        <v>13</v>
      </c>
      <c r="F52" s="23" t="n">
        <v>0</v>
      </c>
      <c r="G52" s="9" t="n"/>
      <c r="H52" s="10" t="n"/>
      <c r="I52" s="11" t="n"/>
    </row>
    <row r="53">
      <c r="A53" s="22" t="n"/>
      <c r="B53" s="23" t="n"/>
      <c r="C53" s="23" t="n"/>
      <c r="D53" s="23" t="n"/>
      <c r="E53" s="23" t="n">
        <v>12</v>
      </c>
      <c r="F53" s="23" t="n">
        <v>0</v>
      </c>
      <c r="G53" s="12" t="inlineStr">
        <is>
          <t>da5_delay_value</t>
        </is>
      </c>
      <c r="H53" s="13" t="inlineStr">
        <is>
          <t>RW</t>
        </is>
      </c>
      <c r="I53" s="14" t="inlineStr"/>
    </row>
    <row r="54">
      <c r="A54" s="22" t="n"/>
      <c r="B54" s="23" t="n"/>
      <c r="C54" s="23" t="n"/>
      <c r="D54" s="23" t="n"/>
      <c r="E54" s="23" t="n">
        <v>11</v>
      </c>
      <c r="F54" s="23" t="n">
        <v>0</v>
      </c>
      <c r="G54" s="12" t="n"/>
      <c r="H54" s="13" t="n"/>
      <c r="I54" s="14" t="n"/>
    </row>
    <row r="55">
      <c r="A55" s="22" t="n"/>
      <c r="B55" s="23" t="n"/>
      <c r="C55" s="23" t="n"/>
      <c r="D55" s="23" t="n"/>
      <c r="E55" s="23" t="n">
        <v>10</v>
      </c>
      <c r="F55" s="23" t="n">
        <v>0</v>
      </c>
      <c r="G55" s="12" t="n"/>
      <c r="H55" s="13" t="n"/>
      <c r="I55" s="14" t="n"/>
    </row>
    <row r="56">
      <c r="A56" s="22" t="n"/>
      <c r="B56" s="23" t="n"/>
      <c r="C56" s="23" t="n"/>
      <c r="D56" s="23" t="n"/>
      <c r="E56" s="23" t="n">
        <v>9</v>
      </c>
      <c r="F56" s="23" t="n">
        <v>0</v>
      </c>
      <c r="G56" s="12" t="n"/>
      <c r="H56" s="13" t="n"/>
      <c r="I56" s="14" t="n"/>
    </row>
    <row r="57">
      <c r="A57" s="22" t="n"/>
      <c r="B57" s="23" t="n"/>
      <c r="C57" s="23" t="n"/>
      <c r="D57" s="23" t="n"/>
      <c r="E57" s="23" t="n">
        <v>8</v>
      </c>
      <c r="F57" s="23" t="n">
        <v>0</v>
      </c>
      <c r="G57" s="12" t="n"/>
      <c r="H57" s="13" t="n"/>
      <c r="I57" s="14" t="n"/>
    </row>
    <row r="58">
      <c r="A58" s="22" t="n"/>
      <c r="B58" s="23" t="n"/>
      <c r="C58" s="23" t="n"/>
      <c r="D58" s="23" t="str">
        <f>DEC2HEX(128*F58+64*F59+32*F60+16*F61+8*F62+4*F63+2*F64+1*F65,2)&amp;"h"</f>
        <v>00h</v>
      </c>
      <c r="E58" s="23" t="n">
        <v>7</v>
      </c>
      <c r="F58" s="23" t="n">
        <v>0</v>
      </c>
      <c r="G58" s="9" t="inlineStr">
        <is>
          <t>RESERVED</t>
        </is>
      </c>
      <c r="H58" s="10" t="inlineStr">
        <is>
          <t>RO</t>
        </is>
      </c>
      <c r="I58" s="11" t="inlineStr">
        <is>
          <t>Reserved; keep at reset value.</t>
        </is>
      </c>
    </row>
    <row r="59">
      <c r="A59" s="22" t="n"/>
      <c r="B59" s="23" t="n"/>
      <c r="C59" s="23" t="n"/>
      <c r="D59" s="23" t="n"/>
      <c r="E59" s="23" t="n">
        <v>6</v>
      </c>
      <c r="F59" s="23" t="n">
        <v>0</v>
      </c>
      <c r="G59" s="9" t="n"/>
      <c r="H59" s="10" t="n"/>
      <c r="I59" s="11" t="n"/>
    </row>
    <row r="60">
      <c r="A60" s="22" t="n"/>
      <c r="B60" s="23" t="n"/>
      <c r="C60" s="23" t="n"/>
      <c r="D60" s="23" t="n"/>
      <c r="E60" s="23" t="n">
        <v>5</v>
      </c>
      <c r="F60" s="23" t="n">
        <v>0</v>
      </c>
      <c r="G60" s="9" t="n"/>
      <c r="H60" s="10" t="n"/>
      <c r="I60" s="11" t="n"/>
    </row>
    <row r="61">
      <c r="A61" s="22" t="n"/>
      <c r="B61" s="23" t="n"/>
      <c r="C61" s="23" t="n"/>
      <c r="D61" s="23" t="n"/>
      <c r="E61" s="23" t="n">
        <v>4</v>
      </c>
      <c r="F61" s="23" t="n">
        <v>0</v>
      </c>
      <c r="G61" s="12" t="inlineStr">
        <is>
          <t>da4_delay_value</t>
        </is>
      </c>
      <c r="H61" s="13" t="inlineStr">
        <is>
          <t>RW</t>
        </is>
      </c>
      <c r="I61" s="14" t="inlineStr"/>
    </row>
    <row r="62">
      <c r="A62" s="22" t="n"/>
      <c r="B62" s="23" t="n"/>
      <c r="C62" s="23" t="n"/>
      <c r="D62" s="23" t="n"/>
      <c r="E62" s="23" t="n">
        <v>3</v>
      </c>
      <c r="F62" s="23" t="n">
        <v>0</v>
      </c>
      <c r="G62" s="12" t="n"/>
      <c r="H62" s="13" t="n"/>
      <c r="I62" s="14" t="n"/>
    </row>
    <row r="63">
      <c r="A63" s="22" t="n"/>
      <c r="B63" s="23" t="n"/>
      <c r="C63" s="23" t="n"/>
      <c r="D63" s="23" t="n"/>
      <c r="E63" s="23" t="n">
        <v>2</v>
      </c>
      <c r="F63" s="23" t="n">
        <v>0</v>
      </c>
      <c r="G63" s="12" t="n"/>
      <c r="H63" s="13" t="n"/>
      <c r="I63" s="14" t="n"/>
    </row>
    <row r="64">
      <c r="A64" s="22" t="n"/>
      <c r="B64" s="23" t="n"/>
      <c r="C64" s="23" t="n"/>
      <c r="D64" s="23" t="n"/>
      <c r="E64" s="23" t="n">
        <v>1</v>
      </c>
      <c r="F64" s="23" t="n">
        <v>0</v>
      </c>
      <c r="G64" s="12" t="n"/>
      <c r="H64" s="13" t="n"/>
      <c r="I64" s="14" t="n"/>
    </row>
    <row r="65">
      <c r="A65" s="24" t="n"/>
      <c r="B65" s="25" t="n"/>
      <c r="C65" s="25" t="n"/>
      <c r="D65" s="25" t="n"/>
      <c r="E65" s="25" t="n">
        <v>0</v>
      </c>
      <c r="F65" s="25" t="n">
        <v>0</v>
      </c>
      <c r="G65" s="17" t="n"/>
      <c r="H65" s="18" t="n"/>
      <c r="I65" s="19" t="n"/>
    </row>
    <row r="66">
      <c r="A66" s="2" t="inlineStr">
        <is>
          <t>PA_DELAY_CTRL_2</t>
        </is>
      </c>
      <c r="B66" s="3" t="str">
        <f>DEC2HEX(8,4)&amp;"h"</f>
        <v>0008h</v>
      </c>
      <c r="C66" s="3" t="str">
        <f>LEFT(D66,2)&amp;LEFT(D74,2)&amp;LEFT(D82,2)&amp;LEFT(D90,2)&amp;"h"</f>
        <v>00000000h</v>
      </c>
      <c r="D66" s="3" t="str">
        <f>DEC2HEX(128*F66+64*F67+32*F68+16*F69+8*F70+4*F71+2*F72+1*F73,2)&amp;"h"</f>
        <v>00h</v>
      </c>
      <c r="E66" s="3" t="n">
        <v>31</v>
      </c>
      <c r="F66" s="3" t="n">
        <v>0</v>
      </c>
      <c r="G66" s="4" t="inlineStr">
        <is>
          <t>RESERVED</t>
        </is>
      </c>
      <c r="H66" s="5" t="inlineStr">
        <is>
          <t>RO</t>
        </is>
      </c>
      <c r="I66" s="6" t="inlineStr">
        <is>
          <t>Reserved; keep at reset value.</t>
        </is>
      </c>
    </row>
    <row r="67">
      <c r="A67" s="7" t="n"/>
      <c r="B67" s="8" t="n"/>
      <c r="C67" s="8" t="n"/>
      <c r="D67" s="8" t="n"/>
      <c r="E67" s="8" t="n">
        <v>30</v>
      </c>
      <c r="F67" s="8" t="n">
        <v>0</v>
      </c>
      <c r="G67" s="9" t="n"/>
      <c r="H67" s="10" t="n"/>
      <c r="I67" s="11" t="n"/>
    </row>
    <row r="68">
      <c r="A68" s="7" t="n"/>
      <c r="B68" s="8" t="n"/>
      <c r="C68" s="8" t="n"/>
      <c r="D68" s="8" t="n"/>
      <c r="E68" s="8" t="n">
        <v>29</v>
      </c>
      <c r="F68" s="8" t="n">
        <v>0</v>
      </c>
      <c r="G68" s="9" t="n"/>
      <c r="H68" s="10" t="n"/>
      <c r="I68" s="11" t="n"/>
    </row>
    <row r="69">
      <c r="A69" s="7" t="n"/>
      <c r="B69" s="8" t="n"/>
      <c r="C69" s="8" t="n"/>
      <c r="D69" s="8" t="n"/>
      <c r="E69" s="8" t="n">
        <v>28</v>
      </c>
      <c r="F69" s="8" t="n">
        <v>0</v>
      </c>
      <c r="G69" s="12" t="inlineStr">
        <is>
          <t>da11_delay_value</t>
        </is>
      </c>
      <c r="H69" s="13" t="inlineStr">
        <is>
          <t>RW</t>
        </is>
      </c>
      <c r="I69" s="14" t="inlineStr"/>
    </row>
    <row r="70">
      <c r="A70" s="7" t="n"/>
      <c r="B70" s="8" t="n"/>
      <c r="C70" s="8" t="n"/>
      <c r="D70" s="8" t="n"/>
      <c r="E70" s="8" t="n">
        <v>27</v>
      </c>
      <c r="F70" s="8" t="n">
        <v>0</v>
      </c>
      <c r="G70" s="12" t="n"/>
      <c r="H70" s="13" t="n"/>
      <c r="I70" s="14" t="n"/>
    </row>
    <row r="71">
      <c r="A71" s="7" t="n"/>
      <c r="B71" s="8" t="n"/>
      <c r="C71" s="8" t="n"/>
      <c r="D71" s="8" t="n"/>
      <c r="E71" s="8" t="n">
        <v>26</v>
      </c>
      <c r="F71" s="8" t="n">
        <v>0</v>
      </c>
      <c r="G71" s="12" t="n"/>
      <c r="H71" s="13" t="n"/>
      <c r="I71" s="14" t="n"/>
    </row>
    <row r="72">
      <c r="A72" s="7" t="n"/>
      <c r="B72" s="8" t="n"/>
      <c r="C72" s="8" t="n"/>
      <c r="D72" s="8" t="n"/>
      <c r="E72" s="8" t="n">
        <v>25</v>
      </c>
      <c r="F72" s="8" t="n">
        <v>0</v>
      </c>
      <c r="G72" s="12" t="n"/>
      <c r="H72" s="13" t="n"/>
      <c r="I72" s="14" t="n"/>
    </row>
    <row r="73">
      <c r="A73" s="7" t="n"/>
      <c r="B73" s="8" t="n"/>
      <c r="C73" s="8" t="n"/>
      <c r="D73" s="8" t="n"/>
      <c r="E73" s="8" t="n">
        <v>24</v>
      </c>
      <c r="F73" s="8" t="n">
        <v>0</v>
      </c>
      <c r="G73" s="12" t="n"/>
      <c r="H73" s="13" t="n"/>
      <c r="I73" s="14" t="n"/>
    </row>
    <row r="74">
      <c r="A74" s="7" t="n"/>
      <c r="B74" s="8" t="n"/>
      <c r="C74" s="8" t="n"/>
      <c r="D74" s="8" t="str">
        <f>DEC2HEX(128*F74+64*F75+32*F76+16*F77+8*F78+4*F79+2*F80+1*F81,2)&amp;"h"</f>
        <v>00h</v>
      </c>
      <c r="E74" s="8" t="n">
        <v>23</v>
      </c>
      <c r="F74" s="8" t="n">
        <v>0</v>
      </c>
      <c r="G74" s="9" t="inlineStr">
        <is>
          <t>RESERVED</t>
        </is>
      </c>
      <c r="H74" s="10" t="inlineStr">
        <is>
          <t>RO</t>
        </is>
      </c>
      <c r="I74" s="11" t="inlineStr">
        <is>
          <t>Reserved; keep at reset value.</t>
        </is>
      </c>
    </row>
    <row r="75">
      <c r="A75" s="7" t="n"/>
      <c r="B75" s="8" t="n"/>
      <c r="C75" s="8" t="n"/>
      <c r="D75" s="8" t="n"/>
      <c r="E75" s="8" t="n">
        <v>22</v>
      </c>
      <c r="F75" s="8" t="n">
        <v>0</v>
      </c>
      <c r="G75" s="9" t="n"/>
      <c r="H75" s="10" t="n"/>
      <c r="I75" s="11" t="n"/>
    </row>
    <row r="76">
      <c r="A76" s="7" t="n"/>
      <c r="B76" s="8" t="n"/>
      <c r="C76" s="8" t="n"/>
      <c r="D76" s="8" t="n"/>
      <c r="E76" s="8" t="n">
        <v>21</v>
      </c>
      <c r="F76" s="8" t="n">
        <v>0</v>
      </c>
      <c r="G76" s="9" t="n"/>
      <c r="H76" s="10" t="n"/>
      <c r="I76" s="11" t="n"/>
    </row>
    <row r="77">
      <c r="A77" s="7" t="n"/>
      <c r="B77" s="8" t="n"/>
      <c r="C77" s="8" t="n"/>
      <c r="D77" s="8" t="n"/>
      <c r="E77" s="8" t="n">
        <v>20</v>
      </c>
      <c r="F77" s="8" t="n">
        <v>0</v>
      </c>
      <c r="G77" s="12" t="inlineStr">
        <is>
          <t>da10_delay_value</t>
        </is>
      </c>
      <c r="H77" s="13" t="inlineStr">
        <is>
          <t>RW</t>
        </is>
      </c>
      <c r="I77" s="14" t="inlineStr"/>
    </row>
    <row r="78">
      <c r="A78" s="7" t="n"/>
      <c r="B78" s="8" t="n"/>
      <c r="C78" s="8" t="n"/>
      <c r="D78" s="8" t="n"/>
      <c r="E78" s="8" t="n">
        <v>19</v>
      </c>
      <c r="F78" s="8" t="n">
        <v>0</v>
      </c>
      <c r="G78" s="12" t="n"/>
      <c r="H78" s="13" t="n"/>
      <c r="I78" s="14" t="n"/>
    </row>
    <row r="79">
      <c r="A79" s="7" t="n"/>
      <c r="B79" s="8" t="n"/>
      <c r="C79" s="8" t="n"/>
      <c r="D79" s="8" t="n"/>
      <c r="E79" s="8" t="n">
        <v>18</v>
      </c>
      <c r="F79" s="8" t="n">
        <v>0</v>
      </c>
      <c r="G79" s="12" t="n"/>
      <c r="H79" s="13" t="n"/>
      <c r="I79" s="14" t="n"/>
    </row>
    <row r="80">
      <c r="A80" s="7" t="n"/>
      <c r="B80" s="8" t="n"/>
      <c r="C80" s="8" t="n"/>
      <c r="D80" s="8" t="n"/>
      <c r="E80" s="8" t="n">
        <v>17</v>
      </c>
      <c r="F80" s="8" t="n">
        <v>0</v>
      </c>
      <c r="G80" s="12" t="n"/>
      <c r="H80" s="13" t="n"/>
      <c r="I80" s="14" t="n"/>
    </row>
    <row r="81">
      <c r="A81" s="7" t="n"/>
      <c r="B81" s="8" t="n"/>
      <c r="C81" s="8" t="n"/>
      <c r="D81" s="8" t="n"/>
      <c r="E81" s="8" t="n">
        <v>16</v>
      </c>
      <c r="F81" s="8" t="n">
        <v>0</v>
      </c>
      <c r="G81" s="12" t="n"/>
      <c r="H81" s="13" t="n"/>
      <c r="I81" s="14" t="n"/>
    </row>
    <row r="82">
      <c r="A82" s="7" t="n"/>
      <c r="B82" s="8" t="n"/>
      <c r="C82" s="8" t="n"/>
      <c r="D82" s="8" t="str">
        <f>DEC2HEX(128*F82+64*F83+32*F84+16*F85+8*F86+4*F87+2*F88+1*F89,2)&amp;"h"</f>
        <v>00h</v>
      </c>
      <c r="E82" s="8" t="n">
        <v>15</v>
      </c>
      <c r="F82" s="8" t="n">
        <v>0</v>
      </c>
      <c r="G82" s="9" t="inlineStr">
        <is>
          <t>RESERVED</t>
        </is>
      </c>
      <c r="H82" s="10" t="inlineStr">
        <is>
          <t>RO</t>
        </is>
      </c>
      <c r="I82" s="11" t="inlineStr">
        <is>
          <t>Reserved; keep at reset value.</t>
        </is>
      </c>
    </row>
    <row r="83">
      <c r="A83" s="7" t="n"/>
      <c r="B83" s="8" t="n"/>
      <c r="C83" s="8" t="n"/>
      <c r="D83" s="8" t="n"/>
      <c r="E83" s="8" t="n">
        <v>14</v>
      </c>
      <c r="F83" s="8" t="n">
        <v>0</v>
      </c>
      <c r="G83" s="9" t="n"/>
      <c r="H83" s="10" t="n"/>
      <c r="I83" s="11" t="n"/>
    </row>
    <row r="84">
      <c r="A84" s="7" t="n"/>
      <c r="B84" s="8" t="n"/>
      <c r="C84" s="8" t="n"/>
      <c r="D84" s="8" t="n"/>
      <c r="E84" s="8" t="n">
        <v>13</v>
      </c>
      <c r="F84" s="8" t="n">
        <v>0</v>
      </c>
      <c r="G84" s="9" t="n"/>
      <c r="H84" s="10" t="n"/>
      <c r="I84" s="11" t="n"/>
    </row>
    <row r="85">
      <c r="A85" s="7" t="n"/>
      <c r="B85" s="8" t="n"/>
      <c r="C85" s="8" t="n"/>
      <c r="D85" s="8" t="n"/>
      <c r="E85" s="8" t="n">
        <v>12</v>
      </c>
      <c r="F85" s="8" t="n">
        <v>0</v>
      </c>
      <c r="G85" s="12" t="inlineStr">
        <is>
          <t>da9_delay_value</t>
        </is>
      </c>
      <c r="H85" s="13" t="inlineStr">
        <is>
          <t>RW</t>
        </is>
      </c>
      <c r="I85" s="14" t="inlineStr"/>
    </row>
    <row r="86">
      <c r="A86" s="7" t="n"/>
      <c r="B86" s="8" t="n"/>
      <c r="C86" s="8" t="n"/>
      <c r="D86" s="8" t="n"/>
      <c r="E86" s="8" t="n">
        <v>11</v>
      </c>
      <c r="F86" s="8" t="n">
        <v>0</v>
      </c>
      <c r="G86" s="12" t="n"/>
      <c r="H86" s="13" t="n"/>
      <c r="I86" s="14" t="n"/>
    </row>
    <row r="87">
      <c r="A87" s="7" t="n"/>
      <c r="B87" s="8" t="n"/>
      <c r="C87" s="8" t="n"/>
      <c r="D87" s="8" t="n"/>
      <c r="E87" s="8" t="n">
        <v>10</v>
      </c>
      <c r="F87" s="8" t="n">
        <v>0</v>
      </c>
      <c r="G87" s="12" t="n"/>
      <c r="H87" s="13" t="n"/>
      <c r="I87" s="14" t="n"/>
    </row>
    <row r="88">
      <c r="A88" s="7" t="n"/>
      <c r="B88" s="8" t="n"/>
      <c r="C88" s="8" t="n"/>
      <c r="D88" s="8" t="n"/>
      <c r="E88" s="8" t="n">
        <v>9</v>
      </c>
      <c r="F88" s="8" t="n">
        <v>0</v>
      </c>
      <c r="G88" s="12" t="n"/>
      <c r="H88" s="13" t="n"/>
      <c r="I88" s="14" t="n"/>
    </row>
    <row r="89">
      <c r="A89" s="7" t="n"/>
      <c r="B89" s="8" t="n"/>
      <c r="C89" s="8" t="n"/>
      <c r="D89" s="8" t="n"/>
      <c r="E89" s="8" t="n">
        <v>8</v>
      </c>
      <c r="F89" s="8" t="n">
        <v>0</v>
      </c>
      <c r="G89" s="12" t="n"/>
      <c r="H89" s="13" t="n"/>
      <c r="I89" s="14" t="n"/>
    </row>
    <row r="90">
      <c r="A90" s="7" t="n"/>
      <c r="B90" s="8" t="n"/>
      <c r="C90" s="8" t="n"/>
      <c r="D90" s="8" t="str">
        <f>DEC2HEX(128*F90+64*F91+32*F92+16*F93+8*F94+4*F95+2*F96+1*F97,2)&amp;"h"</f>
        <v>00h</v>
      </c>
      <c r="E90" s="8" t="n">
        <v>7</v>
      </c>
      <c r="F90" s="8" t="n">
        <v>0</v>
      </c>
      <c r="G90" s="9" t="inlineStr">
        <is>
          <t>RESERVED</t>
        </is>
      </c>
      <c r="H90" s="10" t="inlineStr">
        <is>
          <t>RO</t>
        </is>
      </c>
      <c r="I90" s="11" t="inlineStr">
        <is>
          <t>Reserved; keep at reset value.</t>
        </is>
      </c>
    </row>
    <row r="91">
      <c r="A91" s="7" t="n"/>
      <c r="B91" s="8" t="n"/>
      <c r="C91" s="8" t="n"/>
      <c r="D91" s="8" t="n"/>
      <c r="E91" s="8" t="n">
        <v>6</v>
      </c>
      <c r="F91" s="8" t="n">
        <v>0</v>
      </c>
      <c r="G91" s="9" t="n"/>
      <c r="H91" s="10" t="n"/>
      <c r="I91" s="11" t="n"/>
    </row>
    <row r="92">
      <c r="A92" s="7" t="n"/>
      <c r="B92" s="8" t="n"/>
      <c r="C92" s="8" t="n"/>
      <c r="D92" s="8" t="n"/>
      <c r="E92" s="8" t="n">
        <v>5</v>
      </c>
      <c r="F92" s="8" t="n">
        <v>0</v>
      </c>
      <c r="G92" s="9" t="n"/>
      <c r="H92" s="10" t="n"/>
      <c r="I92" s="11" t="n"/>
    </row>
    <row r="93">
      <c r="A93" s="7" t="n"/>
      <c r="B93" s="8" t="n"/>
      <c r="C93" s="8" t="n"/>
      <c r="D93" s="8" t="n"/>
      <c r="E93" s="8" t="n">
        <v>4</v>
      </c>
      <c r="F93" s="8" t="n">
        <v>0</v>
      </c>
      <c r="G93" s="12" t="inlineStr">
        <is>
          <t>da8_delay_value</t>
        </is>
      </c>
      <c r="H93" s="13" t="inlineStr">
        <is>
          <t>RW</t>
        </is>
      </c>
      <c r="I93" s="14" t="inlineStr"/>
    </row>
    <row r="94">
      <c r="A94" s="7" t="n"/>
      <c r="B94" s="8" t="n"/>
      <c r="C94" s="8" t="n"/>
      <c r="D94" s="8" t="n"/>
      <c r="E94" s="8" t="n">
        <v>3</v>
      </c>
      <c r="F94" s="8" t="n">
        <v>0</v>
      </c>
      <c r="G94" s="12" t="n"/>
      <c r="H94" s="13" t="n"/>
      <c r="I94" s="14" t="n"/>
    </row>
    <row r="95">
      <c r="A95" s="7" t="n"/>
      <c r="B95" s="8" t="n"/>
      <c r="C95" s="8" t="n"/>
      <c r="D95" s="8" t="n"/>
      <c r="E95" s="8" t="n">
        <v>2</v>
      </c>
      <c r="F95" s="8" t="n">
        <v>0</v>
      </c>
      <c r="G95" s="12" t="n"/>
      <c r="H95" s="13" t="n"/>
      <c r="I95" s="14" t="n"/>
    </row>
    <row r="96">
      <c r="A96" s="7" t="n"/>
      <c r="B96" s="8" t="n"/>
      <c r="C96" s="8" t="n"/>
      <c r="D96" s="8" t="n"/>
      <c r="E96" s="8" t="n">
        <v>1</v>
      </c>
      <c r="F96" s="8" t="n">
        <v>0</v>
      </c>
      <c r="G96" s="12" t="n"/>
      <c r="H96" s="13" t="n"/>
      <c r="I96" s="14" t="n"/>
    </row>
    <row r="97">
      <c r="A97" s="15" t="n"/>
      <c r="B97" s="16" t="n"/>
      <c r="C97" s="16" t="n"/>
      <c r="D97" s="16" t="n"/>
      <c r="E97" s="16" t="n">
        <v>0</v>
      </c>
      <c r="F97" s="16" t="n">
        <v>0</v>
      </c>
      <c r="G97" s="17" t="n"/>
      <c r="H97" s="18" t="n"/>
      <c r="I97" s="19" t="n"/>
    </row>
    <row r="98">
      <c r="A98" s="20" t="inlineStr">
        <is>
          <t>PA_DELAY_EFFECT_0</t>
        </is>
      </c>
      <c r="B98" s="21" t="str">
        <f>DEC2HEX(12,4)&amp;"h"</f>
        <v>000Ch</v>
      </c>
      <c r="C98" s="21" t="str">
        <f>LEFT(D98,2)&amp;LEFT(D106,2)&amp;LEFT(D114,2)&amp;LEFT(D122,2)&amp;"h"</f>
        <v>00000000h</v>
      </c>
      <c r="D98" s="21" t="str">
        <f>DEC2HEX(128*F98+64*F99+32*F100+16*F101+8*F102+4*F103+2*F104+1*F105,2)&amp;"h"</f>
        <v>00h</v>
      </c>
      <c r="E98" s="21" t="n">
        <v>31</v>
      </c>
      <c r="F98" s="21" t="n">
        <v>0</v>
      </c>
      <c r="G98" s="4" t="inlineStr">
        <is>
          <t>RESERVED</t>
        </is>
      </c>
      <c r="H98" s="5" t="inlineStr">
        <is>
          <t>RO</t>
        </is>
      </c>
      <c r="I98" s="6" t="inlineStr">
        <is>
          <t>Reserved; keep at reset value.</t>
        </is>
      </c>
    </row>
    <row r="99">
      <c r="A99" s="22" t="n"/>
      <c r="B99" s="23" t="n"/>
      <c r="C99" s="23" t="n"/>
      <c r="D99" s="23" t="n"/>
      <c r="E99" s="23" t="n">
        <v>30</v>
      </c>
      <c r="F99" s="23" t="n">
        <v>0</v>
      </c>
      <c r="G99" s="9" t="n"/>
      <c r="H99" s="10" t="n"/>
      <c r="I99" s="11" t="n"/>
    </row>
    <row r="100">
      <c r="A100" s="22" t="n"/>
      <c r="B100" s="23" t="n"/>
      <c r="C100" s="23" t="n"/>
      <c r="D100" s="23" t="n"/>
      <c r="E100" s="23" t="n">
        <v>29</v>
      </c>
      <c r="F100" s="23" t="n">
        <v>0</v>
      </c>
      <c r="G100" s="9" t="n"/>
      <c r="H100" s="10" t="n"/>
      <c r="I100" s="11" t="n"/>
    </row>
    <row r="101">
      <c r="A101" s="22" t="n"/>
      <c r="B101" s="23" t="n"/>
      <c r="C101" s="23" t="n"/>
      <c r="D101" s="23" t="n"/>
      <c r="E101" s="23" t="n">
        <v>28</v>
      </c>
      <c r="F101" s="23" t="n">
        <v>0</v>
      </c>
      <c r="G101" s="26" t="inlineStr">
        <is>
          <t>da3_delay_effect</t>
        </is>
      </c>
      <c r="H101" s="27" t="inlineStr">
        <is>
          <t>RO</t>
        </is>
      </c>
      <c r="I101" s="28" t="inlineStr"/>
    </row>
    <row r="102">
      <c r="A102" s="22" t="n"/>
      <c r="B102" s="23" t="n"/>
      <c r="C102" s="23" t="n"/>
      <c r="D102" s="23" t="n"/>
      <c r="E102" s="23" t="n">
        <v>27</v>
      </c>
      <c r="F102" s="23" t="n">
        <v>0</v>
      </c>
      <c r="G102" s="26" t="n"/>
      <c r="H102" s="27" t="n"/>
      <c r="I102" s="28" t="n"/>
    </row>
    <row r="103">
      <c r="A103" s="22" t="n"/>
      <c r="B103" s="23" t="n"/>
      <c r="C103" s="23" t="n"/>
      <c r="D103" s="23" t="n"/>
      <c r="E103" s="23" t="n">
        <v>26</v>
      </c>
      <c r="F103" s="23" t="n">
        <v>0</v>
      </c>
      <c r="G103" s="26" t="n"/>
      <c r="H103" s="27" t="n"/>
      <c r="I103" s="28" t="n"/>
    </row>
    <row r="104">
      <c r="A104" s="22" t="n"/>
      <c r="B104" s="23" t="n"/>
      <c r="C104" s="23" t="n"/>
      <c r="D104" s="23" t="n"/>
      <c r="E104" s="23" t="n">
        <v>25</v>
      </c>
      <c r="F104" s="23" t="n">
        <v>0</v>
      </c>
      <c r="G104" s="26" t="n"/>
      <c r="H104" s="27" t="n"/>
      <c r="I104" s="28" t="n"/>
    </row>
    <row r="105">
      <c r="A105" s="22" t="n"/>
      <c r="B105" s="23" t="n"/>
      <c r="C105" s="23" t="n"/>
      <c r="D105" s="23" t="n"/>
      <c r="E105" s="23" t="n">
        <v>24</v>
      </c>
      <c r="F105" s="23" t="n">
        <v>0</v>
      </c>
      <c r="G105" s="26" t="n"/>
      <c r="H105" s="27" t="n"/>
      <c r="I105" s="28" t="n"/>
    </row>
    <row r="106">
      <c r="A106" s="22" t="n"/>
      <c r="B106" s="23" t="n"/>
      <c r="C106" s="23" t="n"/>
      <c r="D106" s="23" t="str">
        <f>DEC2HEX(128*F106+64*F107+32*F108+16*F109+8*F110+4*F111+2*F112+1*F113,2)&amp;"h"</f>
        <v>00h</v>
      </c>
      <c r="E106" s="23" t="n">
        <v>23</v>
      </c>
      <c r="F106" s="23" t="n">
        <v>0</v>
      </c>
      <c r="G106" s="9" t="inlineStr">
        <is>
          <t>RESERVED</t>
        </is>
      </c>
      <c r="H106" s="10" t="inlineStr">
        <is>
          <t>RO</t>
        </is>
      </c>
      <c r="I106" s="11" t="inlineStr">
        <is>
          <t>Reserved; keep at reset value.</t>
        </is>
      </c>
    </row>
    <row r="107">
      <c r="A107" s="22" t="n"/>
      <c r="B107" s="23" t="n"/>
      <c r="C107" s="23" t="n"/>
      <c r="D107" s="23" t="n"/>
      <c r="E107" s="23" t="n">
        <v>22</v>
      </c>
      <c r="F107" s="23" t="n">
        <v>0</v>
      </c>
      <c r="G107" s="9" t="n"/>
      <c r="H107" s="10" t="n"/>
      <c r="I107" s="11" t="n"/>
    </row>
    <row r="108">
      <c r="A108" s="22" t="n"/>
      <c r="B108" s="23" t="n"/>
      <c r="C108" s="23" t="n"/>
      <c r="D108" s="23" t="n"/>
      <c r="E108" s="23" t="n">
        <v>21</v>
      </c>
      <c r="F108" s="23" t="n">
        <v>0</v>
      </c>
      <c r="G108" s="9" t="n"/>
      <c r="H108" s="10" t="n"/>
      <c r="I108" s="11" t="n"/>
    </row>
    <row r="109">
      <c r="A109" s="22" t="n"/>
      <c r="B109" s="23" t="n"/>
      <c r="C109" s="23" t="n"/>
      <c r="D109" s="23" t="n"/>
      <c r="E109" s="23" t="n">
        <v>20</v>
      </c>
      <c r="F109" s="23" t="n">
        <v>0</v>
      </c>
      <c r="G109" s="26" t="inlineStr">
        <is>
          <t>da2_delay_effect</t>
        </is>
      </c>
      <c r="H109" s="27" t="inlineStr">
        <is>
          <t>RO</t>
        </is>
      </c>
      <c r="I109" s="28" t="inlineStr"/>
    </row>
    <row r="110">
      <c r="A110" s="22" t="n"/>
      <c r="B110" s="23" t="n"/>
      <c r="C110" s="23" t="n"/>
      <c r="D110" s="23" t="n"/>
      <c r="E110" s="23" t="n">
        <v>19</v>
      </c>
      <c r="F110" s="23" t="n">
        <v>0</v>
      </c>
      <c r="G110" s="26" t="n"/>
      <c r="H110" s="27" t="n"/>
      <c r="I110" s="28" t="n"/>
    </row>
    <row r="111">
      <c r="A111" s="22" t="n"/>
      <c r="B111" s="23" t="n"/>
      <c r="C111" s="23" t="n"/>
      <c r="D111" s="23" t="n"/>
      <c r="E111" s="23" t="n">
        <v>18</v>
      </c>
      <c r="F111" s="23" t="n">
        <v>0</v>
      </c>
      <c r="G111" s="26" t="n"/>
      <c r="H111" s="27" t="n"/>
      <c r="I111" s="28" t="n"/>
    </row>
    <row r="112">
      <c r="A112" s="22" t="n"/>
      <c r="B112" s="23" t="n"/>
      <c r="C112" s="23" t="n"/>
      <c r="D112" s="23" t="n"/>
      <c r="E112" s="23" t="n">
        <v>17</v>
      </c>
      <c r="F112" s="23" t="n">
        <v>0</v>
      </c>
      <c r="G112" s="26" t="n"/>
      <c r="H112" s="27" t="n"/>
      <c r="I112" s="28" t="n"/>
    </row>
    <row r="113">
      <c r="A113" s="22" t="n"/>
      <c r="B113" s="23" t="n"/>
      <c r="C113" s="23" t="n"/>
      <c r="D113" s="23" t="n"/>
      <c r="E113" s="23" t="n">
        <v>16</v>
      </c>
      <c r="F113" s="23" t="n">
        <v>0</v>
      </c>
      <c r="G113" s="26" t="n"/>
      <c r="H113" s="27" t="n"/>
      <c r="I113" s="28" t="n"/>
    </row>
    <row r="114">
      <c r="A114" s="22" t="n"/>
      <c r="B114" s="23" t="n"/>
      <c r="C114" s="23" t="n"/>
      <c r="D114" s="23" t="str">
        <f>DEC2HEX(128*F114+64*F115+32*F116+16*F117+8*F118+4*F119+2*F120+1*F121,2)&amp;"h"</f>
        <v>00h</v>
      </c>
      <c r="E114" s="23" t="n">
        <v>15</v>
      </c>
      <c r="F114" s="23" t="n">
        <v>0</v>
      </c>
      <c r="G114" s="9" t="inlineStr">
        <is>
          <t>RESERVED</t>
        </is>
      </c>
      <c r="H114" s="10" t="inlineStr">
        <is>
          <t>RO</t>
        </is>
      </c>
      <c r="I114" s="11" t="inlineStr">
        <is>
          <t>Reserved; keep at reset value.</t>
        </is>
      </c>
    </row>
    <row r="115">
      <c r="A115" s="22" t="n"/>
      <c r="B115" s="23" t="n"/>
      <c r="C115" s="23" t="n"/>
      <c r="D115" s="23" t="n"/>
      <c r="E115" s="23" t="n">
        <v>14</v>
      </c>
      <c r="F115" s="23" t="n">
        <v>0</v>
      </c>
      <c r="G115" s="9" t="n"/>
      <c r="H115" s="10" t="n"/>
      <c r="I115" s="11" t="n"/>
    </row>
    <row r="116">
      <c r="A116" s="22" t="n"/>
      <c r="B116" s="23" t="n"/>
      <c r="C116" s="23" t="n"/>
      <c r="D116" s="23" t="n"/>
      <c r="E116" s="23" t="n">
        <v>13</v>
      </c>
      <c r="F116" s="23" t="n">
        <v>0</v>
      </c>
      <c r="G116" s="9" t="n"/>
      <c r="H116" s="10" t="n"/>
      <c r="I116" s="11" t="n"/>
    </row>
    <row r="117">
      <c r="A117" s="22" t="n"/>
      <c r="B117" s="23" t="n"/>
      <c r="C117" s="23" t="n"/>
      <c r="D117" s="23" t="n"/>
      <c r="E117" s="23" t="n">
        <v>12</v>
      </c>
      <c r="F117" s="23" t="n">
        <v>0</v>
      </c>
      <c r="G117" s="26" t="inlineStr">
        <is>
          <t>da1_delay_effect</t>
        </is>
      </c>
      <c r="H117" s="27" t="inlineStr">
        <is>
          <t>RO</t>
        </is>
      </c>
      <c r="I117" s="28" t="inlineStr"/>
    </row>
    <row r="118">
      <c r="A118" s="22" t="n"/>
      <c r="B118" s="23" t="n"/>
      <c r="C118" s="23" t="n"/>
      <c r="D118" s="23" t="n"/>
      <c r="E118" s="23" t="n">
        <v>11</v>
      </c>
      <c r="F118" s="23" t="n">
        <v>0</v>
      </c>
      <c r="G118" s="26" t="n"/>
      <c r="H118" s="27" t="n"/>
      <c r="I118" s="28" t="n"/>
    </row>
    <row r="119">
      <c r="A119" s="22" t="n"/>
      <c r="B119" s="23" t="n"/>
      <c r="C119" s="23" t="n"/>
      <c r="D119" s="23" t="n"/>
      <c r="E119" s="23" t="n">
        <v>10</v>
      </c>
      <c r="F119" s="23" t="n">
        <v>0</v>
      </c>
      <c r="G119" s="26" t="n"/>
      <c r="H119" s="27" t="n"/>
      <c r="I119" s="28" t="n"/>
    </row>
    <row r="120">
      <c r="A120" s="22" t="n"/>
      <c r="B120" s="23" t="n"/>
      <c r="C120" s="23" t="n"/>
      <c r="D120" s="23" t="n"/>
      <c r="E120" s="23" t="n">
        <v>9</v>
      </c>
      <c r="F120" s="23" t="n">
        <v>0</v>
      </c>
      <c r="G120" s="26" t="n"/>
      <c r="H120" s="27" t="n"/>
      <c r="I120" s="28" t="n"/>
    </row>
    <row r="121">
      <c r="A121" s="22" t="n"/>
      <c r="B121" s="23" t="n"/>
      <c r="C121" s="23" t="n"/>
      <c r="D121" s="23" t="n"/>
      <c r="E121" s="23" t="n">
        <v>8</v>
      </c>
      <c r="F121" s="23" t="n">
        <v>0</v>
      </c>
      <c r="G121" s="26" t="n"/>
      <c r="H121" s="27" t="n"/>
      <c r="I121" s="28" t="n"/>
    </row>
    <row r="122">
      <c r="A122" s="22" t="n"/>
      <c r="B122" s="23" t="n"/>
      <c r="C122" s="23" t="n"/>
      <c r="D122" s="23" t="str">
        <f>DEC2HEX(128*F122+64*F123+32*F124+16*F125+8*F126+4*F127+2*F128+1*F129,2)&amp;"h"</f>
        <v>00h</v>
      </c>
      <c r="E122" s="23" t="n">
        <v>7</v>
      </c>
      <c r="F122" s="23" t="n">
        <v>0</v>
      </c>
      <c r="G122" s="9" t="inlineStr">
        <is>
          <t>RESERVED</t>
        </is>
      </c>
      <c r="H122" s="10" t="inlineStr">
        <is>
          <t>RO</t>
        </is>
      </c>
      <c r="I122" s="11" t="inlineStr">
        <is>
          <t>Reserved; keep at reset value.</t>
        </is>
      </c>
    </row>
    <row r="123">
      <c r="A123" s="22" t="n"/>
      <c r="B123" s="23" t="n"/>
      <c r="C123" s="23" t="n"/>
      <c r="D123" s="23" t="n"/>
      <c r="E123" s="23" t="n">
        <v>6</v>
      </c>
      <c r="F123" s="23" t="n">
        <v>0</v>
      </c>
      <c r="G123" s="9" t="n"/>
      <c r="H123" s="10" t="n"/>
      <c r="I123" s="11" t="n"/>
    </row>
    <row r="124">
      <c r="A124" s="22" t="n"/>
      <c r="B124" s="23" t="n"/>
      <c r="C124" s="23" t="n"/>
      <c r="D124" s="23" t="n"/>
      <c r="E124" s="23" t="n">
        <v>5</v>
      </c>
      <c r="F124" s="23" t="n">
        <v>0</v>
      </c>
      <c r="G124" s="9" t="n"/>
      <c r="H124" s="10" t="n"/>
      <c r="I124" s="11" t="n"/>
    </row>
    <row r="125">
      <c r="A125" s="22" t="n"/>
      <c r="B125" s="23" t="n"/>
      <c r="C125" s="23" t="n"/>
      <c r="D125" s="23" t="n"/>
      <c r="E125" s="23" t="n">
        <v>4</v>
      </c>
      <c r="F125" s="23" t="n">
        <v>0</v>
      </c>
      <c r="G125" s="26" t="inlineStr">
        <is>
          <t>da0_delay_effect</t>
        </is>
      </c>
      <c r="H125" s="27" t="inlineStr">
        <is>
          <t>RO</t>
        </is>
      </c>
      <c r="I125" s="28" t="inlineStr"/>
    </row>
    <row r="126">
      <c r="A126" s="22" t="n"/>
      <c r="B126" s="23" t="n"/>
      <c r="C126" s="23" t="n"/>
      <c r="D126" s="23" t="n"/>
      <c r="E126" s="23" t="n">
        <v>3</v>
      </c>
      <c r="F126" s="23" t="n">
        <v>0</v>
      </c>
      <c r="G126" s="26" t="n"/>
      <c r="H126" s="27" t="n"/>
      <c r="I126" s="28" t="n"/>
    </row>
    <row r="127">
      <c r="A127" s="22" t="n"/>
      <c r="B127" s="23" t="n"/>
      <c r="C127" s="23" t="n"/>
      <c r="D127" s="23" t="n"/>
      <c r="E127" s="23" t="n">
        <v>2</v>
      </c>
      <c r="F127" s="23" t="n">
        <v>0</v>
      </c>
      <c r="G127" s="26" t="n"/>
      <c r="H127" s="27" t="n"/>
      <c r="I127" s="28" t="n"/>
    </row>
    <row r="128">
      <c r="A128" s="22" t="n"/>
      <c r="B128" s="23" t="n"/>
      <c r="C128" s="23" t="n"/>
      <c r="D128" s="23" t="n"/>
      <c r="E128" s="23" t="n">
        <v>1</v>
      </c>
      <c r="F128" s="23" t="n">
        <v>0</v>
      </c>
      <c r="G128" s="26" t="n"/>
      <c r="H128" s="27" t="n"/>
      <c r="I128" s="28" t="n"/>
    </row>
    <row r="129">
      <c r="A129" s="24" t="n"/>
      <c r="B129" s="25" t="n"/>
      <c r="C129" s="25" t="n"/>
      <c r="D129" s="25" t="n"/>
      <c r="E129" s="25" t="n">
        <v>0</v>
      </c>
      <c r="F129" s="25" t="n">
        <v>0</v>
      </c>
      <c r="G129" s="29" t="n"/>
      <c r="H129" s="30" t="n"/>
      <c r="I129" s="31" t="n"/>
    </row>
    <row r="130">
      <c r="A130" s="2" t="inlineStr">
        <is>
          <t>PA_DELAY_EFFECT_1</t>
        </is>
      </c>
      <c r="B130" s="3" t="str">
        <f>DEC2HEX(16,4)&amp;"h"</f>
        <v>0010h</v>
      </c>
      <c r="C130" s="3" t="str">
        <f>LEFT(D130,2)&amp;LEFT(D138,2)&amp;LEFT(D146,2)&amp;LEFT(D154,2)&amp;"h"</f>
        <v>00000000h</v>
      </c>
      <c r="D130" s="3" t="str">
        <f>DEC2HEX(128*F130+64*F131+32*F132+16*F133+8*F134+4*F135+2*F136+1*F137,2)&amp;"h"</f>
        <v>00h</v>
      </c>
      <c r="E130" s="3" t="n">
        <v>31</v>
      </c>
      <c r="F130" s="3" t="n">
        <v>0</v>
      </c>
      <c r="G130" s="4" t="inlineStr">
        <is>
          <t>RESERVED</t>
        </is>
      </c>
      <c r="H130" s="5" t="inlineStr">
        <is>
          <t>RO</t>
        </is>
      </c>
      <c r="I130" s="6" t="inlineStr">
        <is>
          <t>Reserved; keep at reset value.</t>
        </is>
      </c>
    </row>
    <row r="131">
      <c r="A131" s="7" t="n"/>
      <c r="B131" s="8" t="n"/>
      <c r="C131" s="8" t="n"/>
      <c r="D131" s="8" t="n"/>
      <c r="E131" s="8" t="n">
        <v>30</v>
      </c>
      <c r="F131" s="8" t="n">
        <v>0</v>
      </c>
      <c r="G131" s="9" t="n"/>
      <c r="H131" s="10" t="n"/>
      <c r="I131" s="11" t="n"/>
    </row>
    <row r="132">
      <c r="A132" s="7" t="n"/>
      <c r="B132" s="8" t="n"/>
      <c r="C132" s="8" t="n"/>
      <c r="D132" s="8" t="n"/>
      <c r="E132" s="8" t="n">
        <v>29</v>
      </c>
      <c r="F132" s="8" t="n">
        <v>0</v>
      </c>
      <c r="G132" s="9" t="n"/>
      <c r="H132" s="10" t="n"/>
      <c r="I132" s="11" t="n"/>
    </row>
    <row r="133">
      <c r="A133" s="7" t="n"/>
      <c r="B133" s="8" t="n"/>
      <c r="C133" s="8" t="n"/>
      <c r="D133" s="8" t="n"/>
      <c r="E133" s="8" t="n">
        <v>28</v>
      </c>
      <c r="F133" s="8" t="n">
        <v>0</v>
      </c>
      <c r="G133" s="26" t="inlineStr">
        <is>
          <t>da7_delay_effect</t>
        </is>
      </c>
      <c r="H133" s="27" t="inlineStr">
        <is>
          <t>RO</t>
        </is>
      </c>
      <c r="I133" s="28" t="inlineStr"/>
    </row>
    <row r="134">
      <c r="A134" s="7" t="n"/>
      <c r="B134" s="8" t="n"/>
      <c r="C134" s="8" t="n"/>
      <c r="D134" s="8" t="n"/>
      <c r="E134" s="8" t="n">
        <v>27</v>
      </c>
      <c r="F134" s="8" t="n">
        <v>0</v>
      </c>
      <c r="G134" s="26" t="n"/>
      <c r="H134" s="27" t="n"/>
      <c r="I134" s="28" t="n"/>
    </row>
    <row r="135">
      <c r="A135" s="7" t="n"/>
      <c r="B135" s="8" t="n"/>
      <c r="C135" s="8" t="n"/>
      <c r="D135" s="8" t="n"/>
      <c r="E135" s="8" t="n">
        <v>26</v>
      </c>
      <c r="F135" s="8" t="n">
        <v>0</v>
      </c>
      <c r="G135" s="26" t="n"/>
      <c r="H135" s="27" t="n"/>
      <c r="I135" s="28" t="n"/>
    </row>
    <row r="136">
      <c r="A136" s="7" t="n"/>
      <c r="B136" s="8" t="n"/>
      <c r="C136" s="8" t="n"/>
      <c r="D136" s="8" t="n"/>
      <c r="E136" s="8" t="n">
        <v>25</v>
      </c>
      <c r="F136" s="8" t="n">
        <v>0</v>
      </c>
      <c r="G136" s="26" t="n"/>
      <c r="H136" s="27" t="n"/>
      <c r="I136" s="28" t="n"/>
    </row>
    <row r="137">
      <c r="A137" s="7" t="n"/>
      <c r="B137" s="8" t="n"/>
      <c r="C137" s="8" t="n"/>
      <c r="D137" s="8" t="n"/>
      <c r="E137" s="8" t="n">
        <v>24</v>
      </c>
      <c r="F137" s="8" t="n">
        <v>0</v>
      </c>
      <c r="G137" s="26" t="n"/>
      <c r="H137" s="27" t="n"/>
      <c r="I137" s="28" t="n"/>
    </row>
    <row r="138">
      <c r="A138" s="7" t="n"/>
      <c r="B138" s="8" t="n"/>
      <c r="C138" s="8" t="n"/>
      <c r="D138" s="8" t="str">
        <f>DEC2HEX(128*F138+64*F139+32*F140+16*F141+8*F142+4*F143+2*F144+1*F145,2)&amp;"h"</f>
        <v>00h</v>
      </c>
      <c r="E138" s="8" t="n">
        <v>23</v>
      </c>
      <c r="F138" s="8" t="n">
        <v>0</v>
      </c>
      <c r="G138" s="9" t="inlineStr">
        <is>
          <t>RESERVED</t>
        </is>
      </c>
      <c r="H138" s="10" t="inlineStr">
        <is>
          <t>RO</t>
        </is>
      </c>
      <c r="I138" s="11" t="inlineStr">
        <is>
          <t>Reserved; keep at reset value.</t>
        </is>
      </c>
    </row>
    <row r="139">
      <c r="A139" s="7" t="n"/>
      <c r="B139" s="8" t="n"/>
      <c r="C139" s="8" t="n"/>
      <c r="D139" s="8" t="n"/>
      <c r="E139" s="8" t="n">
        <v>22</v>
      </c>
      <c r="F139" s="8" t="n">
        <v>0</v>
      </c>
      <c r="G139" s="9" t="n"/>
      <c r="H139" s="10" t="n"/>
      <c r="I139" s="11" t="n"/>
    </row>
    <row r="140">
      <c r="A140" s="7" t="n"/>
      <c r="B140" s="8" t="n"/>
      <c r="C140" s="8" t="n"/>
      <c r="D140" s="8" t="n"/>
      <c r="E140" s="8" t="n">
        <v>21</v>
      </c>
      <c r="F140" s="8" t="n">
        <v>0</v>
      </c>
      <c r="G140" s="9" t="n"/>
      <c r="H140" s="10" t="n"/>
      <c r="I140" s="11" t="n"/>
    </row>
    <row r="141">
      <c r="A141" s="7" t="n"/>
      <c r="B141" s="8" t="n"/>
      <c r="C141" s="8" t="n"/>
      <c r="D141" s="8" t="n"/>
      <c r="E141" s="8" t="n">
        <v>20</v>
      </c>
      <c r="F141" s="8" t="n">
        <v>0</v>
      </c>
      <c r="G141" s="26" t="inlineStr">
        <is>
          <t>da6_delay_effect</t>
        </is>
      </c>
      <c r="H141" s="27" t="inlineStr">
        <is>
          <t>RO</t>
        </is>
      </c>
      <c r="I141" s="28" t="inlineStr"/>
    </row>
    <row r="142">
      <c r="A142" s="7" t="n"/>
      <c r="B142" s="8" t="n"/>
      <c r="C142" s="8" t="n"/>
      <c r="D142" s="8" t="n"/>
      <c r="E142" s="8" t="n">
        <v>19</v>
      </c>
      <c r="F142" s="8" t="n">
        <v>0</v>
      </c>
      <c r="G142" s="26" t="n"/>
      <c r="H142" s="27" t="n"/>
      <c r="I142" s="28" t="n"/>
    </row>
    <row r="143">
      <c r="A143" s="7" t="n"/>
      <c r="B143" s="8" t="n"/>
      <c r="C143" s="8" t="n"/>
      <c r="D143" s="8" t="n"/>
      <c r="E143" s="8" t="n">
        <v>18</v>
      </c>
      <c r="F143" s="8" t="n">
        <v>0</v>
      </c>
      <c r="G143" s="26" t="n"/>
      <c r="H143" s="27" t="n"/>
      <c r="I143" s="28" t="n"/>
    </row>
    <row r="144">
      <c r="A144" s="7" t="n"/>
      <c r="B144" s="8" t="n"/>
      <c r="C144" s="8" t="n"/>
      <c r="D144" s="8" t="n"/>
      <c r="E144" s="8" t="n">
        <v>17</v>
      </c>
      <c r="F144" s="8" t="n">
        <v>0</v>
      </c>
      <c r="G144" s="26" t="n"/>
      <c r="H144" s="27" t="n"/>
      <c r="I144" s="28" t="n"/>
    </row>
    <row r="145">
      <c r="A145" s="7" t="n"/>
      <c r="B145" s="8" t="n"/>
      <c r="C145" s="8" t="n"/>
      <c r="D145" s="8" t="n"/>
      <c r="E145" s="8" t="n">
        <v>16</v>
      </c>
      <c r="F145" s="8" t="n">
        <v>0</v>
      </c>
      <c r="G145" s="26" t="n"/>
      <c r="H145" s="27" t="n"/>
      <c r="I145" s="28" t="n"/>
    </row>
    <row r="146">
      <c r="A146" s="7" t="n"/>
      <c r="B146" s="8" t="n"/>
      <c r="C146" s="8" t="n"/>
      <c r="D146" s="8" t="str">
        <f>DEC2HEX(128*F146+64*F147+32*F148+16*F149+8*F150+4*F151+2*F152+1*F153,2)&amp;"h"</f>
        <v>00h</v>
      </c>
      <c r="E146" s="8" t="n">
        <v>15</v>
      </c>
      <c r="F146" s="8" t="n">
        <v>0</v>
      </c>
      <c r="G146" s="9" t="inlineStr">
        <is>
          <t>RESERVED</t>
        </is>
      </c>
      <c r="H146" s="10" t="inlineStr">
        <is>
          <t>RO</t>
        </is>
      </c>
      <c r="I146" s="11" t="inlineStr">
        <is>
          <t>Reserved; keep at reset value.</t>
        </is>
      </c>
    </row>
    <row r="147">
      <c r="A147" s="7" t="n"/>
      <c r="B147" s="8" t="n"/>
      <c r="C147" s="8" t="n"/>
      <c r="D147" s="8" t="n"/>
      <c r="E147" s="8" t="n">
        <v>14</v>
      </c>
      <c r="F147" s="8" t="n">
        <v>0</v>
      </c>
      <c r="G147" s="9" t="n"/>
      <c r="H147" s="10" t="n"/>
      <c r="I147" s="11" t="n"/>
    </row>
    <row r="148">
      <c r="A148" s="7" t="n"/>
      <c r="B148" s="8" t="n"/>
      <c r="C148" s="8" t="n"/>
      <c r="D148" s="8" t="n"/>
      <c r="E148" s="8" t="n">
        <v>13</v>
      </c>
      <c r="F148" s="8" t="n">
        <v>0</v>
      </c>
      <c r="G148" s="9" t="n"/>
      <c r="H148" s="10" t="n"/>
      <c r="I148" s="11" t="n"/>
    </row>
    <row r="149">
      <c r="A149" s="7" t="n"/>
      <c r="B149" s="8" t="n"/>
      <c r="C149" s="8" t="n"/>
      <c r="D149" s="8" t="n"/>
      <c r="E149" s="8" t="n">
        <v>12</v>
      </c>
      <c r="F149" s="8" t="n">
        <v>0</v>
      </c>
      <c r="G149" s="26" t="inlineStr">
        <is>
          <t>da5_delay_effect</t>
        </is>
      </c>
      <c r="H149" s="27" t="inlineStr">
        <is>
          <t>RO</t>
        </is>
      </c>
      <c r="I149" s="28" t="inlineStr"/>
    </row>
    <row r="150">
      <c r="A150" s="7" t="n"/>
      <c r="B150" s="8" t="n"/>
      <c r="C150" s="8" t="n"/>
      <c r="D150" s="8" t="n"/>
      <c r="E150" s="8" t="n">
        <v>11</v>
      </c>
      <c r="F150" s="8" t="n">
        <v>0</v>
      </c>
      <c r="G150" s="26" t="n"/>
      <c r="H150" s="27" t="n"/>
      <c r="I150" s="28" t="n"/>
    </row>
    <row r="151">
      <c r="A151" s="7" t="n"/>
      <c r="B151" s="8" t="n"/>
      <c r="C151" s="8" t="n"/>
      <c r="D151" s="8" t="n"/>
      <c r="E151" s="8" t="n">
        <v>10</v>
      </c>
      <c r="F151" s="8" t="n">
        <v>0</v>
      </c>
      <c r="G151" s="26" t="n"/>
      <c r="H151" s="27" t="n"/>
      <c r="I151" s="28" t="n"/>
    </row>
    <row r="152">
      <c r="A152" s="7" t="n"/>
      <c r="B152" s="8" t="n"/>
      <c r="C152" s="8" t="n"/>
      <c r="D152" s="8" t="n"/>
      <c r="E152" s="8" t="n">
        <v>9</v>
      </c>
      <c r="F152" s="8" t="n">
        <v>0</v>
      </c>
      <c r="G152" s="26" t="n"/>
      <c r="H152" s="27" t="n"/>
      <c r="I152" s="28" t="n"/>
    </row>
    <row r="153">
      <c r="A153" s="7" t="n"/>
      <c r="B153" s="8" t="n"/>
      <c r="C153" s="8" t="n"/>
      <c r="D153" s="8" t="n"/>
      <c r="E153" s="8" t="n">
        <v>8</v>
      </c>
      <c r="F153" s="8" t="n">
        <v>0</v>
      </c>
      <c r="G153" s="26" t="n"/>
      <c r="H153" s="27" t="n"/>
      <c r="I153" s="28" t="n"/>
    </row>
    <row r="154">
      <c r="A154" s="7" t="n"/>
      <c r="B154" s="8" t="n"/>
      <c r="C154" s="8" t="n"/>
      <c r="D154" s="8" t="str">
        <f>DEC2HEX(128*F154+64*F155+32*F156+16*F157+8*F158+4*F159+2*F160+1*F161,2)&amp;"h"</f>
        <v>00h</v>
      </c>
      <c r="E154" s="8" t="n">
        <v>7</v>
      </c>
      <c r="F154" s="8" t="n">
        <v>0</v>
      </c>
      <c r="G154" s="9" t="inlineStr">
        <is>
          <t>RESERVED</t>
        </is>
      </c>
      <c r="H154" s="10" t="inlineStr">
        <is>
          <t>RO</t>
        </is>
      </c>
      <c r="I154" s="11" t="inlineStr">
        <is>
          <t>Reserved; keep at reset value.</t>
        </is>
      </c>
    </row>
    <row r="155">
      <c r="A155" s="7" t="n"/>
      <c r="B155" s="8" t="n"/>
      <c r="C155" s="8" t="n"/>
      <c r="D155" s="8" t="n"/>
      <c r="E155" s="8" t="n">
        <v>6</v>
      </c>
      <c r="F155" s="8" t="n">
        <v>0</v>
      </c>
      <c r="G155" s="9" t="n"/>
      <c r="H155" s="10" t="n"/>
      <c r="I155" s="11" t="n"/>
    </row>
    <row r="156">
      <c r="A156" s="7" t="n"/>
      <c r="B156" s="8" t="n"/>
      <c r="C156" s="8" t="n"/>
      <c r="D156" s="8" t="n"/>
      <c r="E156" s="8" t="n">
        <v>5</v>
      </c>
      <c r="F156" s="8" t="n">
        <v>0</v>
      </c>
      <c r="G156" s="9" t="n"/>
      <c r="H156" s="10" t="n"/>
      <c r="I156" s="11" t="n"/>
    </row>
    <row r="157">
      <c r="A157" s="7" t="n"/>
      <c r="B157" s="8" t="n"/>
      <c r="C157" s="8" t="n"/>
      <c r="D157" s="8" t="n"/>
      <c r="E157" s="8" t="n">
        <v>4</v>
      </c>
      <c r="F157" s="8" t="n">
        <v>0</v>
      </c>
      <c r="G157" s="26" t="inlineStr">
        <is>
          <t>da4_delay_effect</t>
        </is>
      </c>
      <c r="H157" s="27" t="inlineStr">
        <is>
          <t>RO</t>
        </is>
      </c>
      <c r="I157" s="28" t="inlineStr"/>
    </row>
    <row r="158">
      <c r="A158" s="7" t="n"/>
      <c r="B158" s="8" t="n"/>
      <c r="C158" s="8" t="n"/>
      <c r="D158" s="8" t="n"/>
      <c r="E158" s="8" t="n">
        <v>3</v>
      </c>
      <c r="F158" s="8" t="n">
        <v>0</v>
      </c>
      <c r="G158" s="26" t="n"/>
      <c r="H158" s="27" t="n"/>
      <c r="I158" s="28" t="n"/>
    </row>
    <row r="159">
      <c r="A159" s="7" t="n"/>
      <c r="B159" s="8" t="n"/>
      <c r="C159" s="8" t="n"/>
      <c r="D159" s="8" t="n"/>
      <c r="E159" s="8" t="n">
        <v>2</v>
      </c>
      <c r="F159" s="8" t="n">
        <v>0</v>
      </c>
      <c r="G159" s="26" t="n"/>
      <c r="H159" s="27" t="n"/>
      <c r="I159" s="28" t="n"/>
    </row>
    <row r="160">
      <c r="A160" s="7" t="n"/>
      <c r="B160" s="8" t="n"/>
      <c r="C160" s="8" t="n"/>
      <c r="D160" s="8" t="n"/>
      <c r="E160" s="8" t="n">
        <v>1</v>
      </c>
      <c r="F160" s="8" t="n">
        <v>0</v>
      </c>
      <c r="G160" s="26" t="n"/>
      <c r="H160" s="27" t="n"/>
      <c r="I160" s="28" t="n"/>
    </row>
    <row r="161">
      <c r="A161" s="15" t="n"/>
      <c r="B161" s="16" t="n"/>
      <c r="C161" s="16" t="n"/>
      <c r="D161" s="16" t="n"/>
      <c r="E161" s="16" t="n">
        <v>0</v>
      </c>
      <c r="F161" s="16" t="n">
        <v>0</v>
      </c>
      <c r="G161" s="29" t="n"/>
      <c r="H161" s="30" t="n"/>
      <c r="I161" s="31" t="n"/>
    </row>
    <row r="162">
      <c r="A162" s="20" t="inlineStr">
        <is>
          <t>PA_DELAY_EFFECT_2</t>
        </is>
      </c>
      <c r="B162" s="21" t="str">
        <f>DEC2HEX(20,4)&amp;"h"</f>
        <v>0014h</v>
      </c>
      <c r="C162" s="21" t="str">
        <f>LEFT(D162,2)&amp;LEFT(D170,2)&amp;LEFT(D178,2)&amp;LEFT(D186,2)&amp;"h"</f>
        <v>00000000h</v>
      </c>
      <c r="D162" s="21" t="str">
        <f>DEC2HEX(128*F162+64*F163+32*F164+16*F165+8*F166+4*F167+2*F168+1*F169,2)&amp;"h"</f>
        <v>00h</v>
      </c>
      <c r="E162" s="21" t="n">
        <v>31</v>
      </c>
      <c r="F162" s="21" t="n">
        <v>0</v>
      </c>
      <c r="G162" s="4" t="inlineStr">
        <is>
          <t>RESERVED</t>
        </is>
      </c>
      <c r="H162" s="5" t="inlineStr">
        <is>
          <t>RO</t>
        </is>
      </c>
      <c r="I162" s="6" t="inlineStr">
        <is>
          <t>Reserved; keep at reset value.</t>
        </is>
      </c>
    </row>
    <row r="163">
      <c r="A163" s="22" t="n"/>
      <c r="B163" s="23" t="n"/>
      <c r="C163" s="23" t="n"/>
      <c r="D163" s="23" t="n"/>
      <c r="E163" s="23" t="n">
        <v>30</v>
      </c>
      <c r="F163" s="23" t="n">
        <v>0</v>
      </c>
      <c r="G163" s="9" t="n"/>
      <c r="H163" s="10" t="n"/>
      <c r="I163" s="11" t="n"/>
    </row>
    <row r="164">
      <c r="A164" s="22" t="n"/>
      <c r="B164" s="23" t="n"/>
      <c r="C164" s="23" t="n"/>
      <c r="D164" s="23" t="n"/>
      <c r="E164" s="23" t="n">
        <v>29</v>
      </c>
      <c r="F164" s="23" t="n">
        <v>0</v>
      </c>
      <c r="G164" s="9" t="n"/>
      <c r="H164" s="10" t="n"/>
      <c r="I164" s="11" t="n"/>
    </row>
    <row r="165">
      <c r="A165" s="22" t="n"/>
      <c r="B165" s="23" t="n"/>
      <c r="C165" s="23" t="n"/>
      <c r="D165" s="23" t="n"/>
      <c r="E165" s="23" t="n">
        <v>28</v>
      </c>
      <c r="F165" s="23" t="n">
        <v>0</v>
      </c>
      <c r="G165" s="26" t="inlineStr">
        <is>
          <t>da11_delay_effect</t>
        </is>
      </c>
      <c r="H165" s="27" t="inlineStr">
        <is>
          <t>RO</t>
        </is>
      </c>
      <c r="I165" s="28" t="inlineStr"/>
    </row>
    <row r="166">
      <c r="A166" s="22" t="n"/>
      <c r="B166" s="23" t="n"/>
      <c r="C166" s="23" t="n"/>
      <c r="D166" s="23" t="n"/>
      <c r="E166" s="23" t="n">
        <v>27</v>
      </c>
      <c r="F166" s="23" t="n">
        <v>0</v>
      </c>
      <c r="G166" s="26" t="n"/>
      <c r="H166" s="27" t="n"/>
      <c r="I166" s="28" t="n"/>
    </row>
    <row r="167">
      <c r="A167" s="22" t="n"/>
      <c r="B167" s="23" t="n"/>
      <c r="C167" s="23" t="n"/>
      <c r="D167" s="23" t="n"/>
      <c r="E167" s="23" t="n">
        <v>26</v>
      </c>
      <c r="F167" s="23" t="n">
        <v>0</v>
      </c>
      <c r="G167" s="26" t="n"/>
      <c r="H167" s="27" t="n"/>
      <c r="I167" s="28" t="n"/>
    </row>
    <row r="168">
      <c r="A168" s="22" t="n"/>
      <c r="B168" s="23" t="n"/>
      <c r="C168" s="23" t="n"/>
      <c r="D168" s="23" t="n"/>
      <c r="E168" s="23" t="n">
        <v>25</v>
      </c>
      <c r="F168" s="23" t="n">
        <v>0</v>
      </c>
      <c r="G168" s="26" t="n"/>
      <c r="H168" s="27" t="n"/>
      <c r="I168" s="28" t="n"/>
    </row>
    <row r="169">
      <c r="A169" s="22" t="n"/>
      <c r="B169" s="23" t="n"/>
      <c r="C169" s="23" t="n"/>
      <c r="D169" s="23" t="n"/>
      <c r="E169" s="23" t="n">
        <v>24</v>
      </c>
      <c r="F169" s="23" t="n">
        <v>0</v>
      </c>
      <c r="G169" s="26" t="n"/>
      <c r="H169" s="27" t="n"/>
      <c r="I169" s="28" t="n"/>
    </row>
    <row r="170">
      <c r="A170" s="22" t="n"/>
      <c r="B170" s="23" t="n"/>
      <c r="C170" s="23" t="n"/>
      <c r="D170" s="23" t="str">
        <f>DEC2HEX(128*F170+64*F171+32*F172+16*F173+8*F174+4*F175+2*F176+1*F177,2)&amp;"h"</f>
        <v>00h</v>
      </c>
      <c r="E170" s="23" t="n">
        <v>23</v>
      </c>
      <c r="F170" s="23" t="n">
        <v>0</v>
      </c>
      <c r="G170" s="9" t="inlineStr">
        <is>
          <t>RESERVED</t>
        </is>
      </c>
      <c r="H170" s="10" t="inlineStr">
        <is>
          <t>RO</t>
        </is>
      </c>
      <c r="I170" s="11" t="inlineStr">
        <is>
          <t>Reserved; keep at reset value.</t>
        </is>
      </c>
    </row>
    <row r="171">
      <c r="A171" s="22" t="n"/>
      <c r="B171" s="23" t="n"/>
      <c r="C171" s="23" t="n"/>
      <c r="D171" s="23" t="n"/>
      <c r="E171" s="23" t="n">
        <v>22</v>
      </c>
      <c r="F171" s="23" t="n">
        <v>0</v>
      </c>
      <c r="G171" s="9" t="n"/>
      <c r="H171" s="10" t="n"/>
      <c r="I171" s="11" t="n"/>
    </row>
    <row r="172">
      <c r="A172" s="22" t="n"/>
      <c r="B172" s="23" t="n"/>
      <c r="C172" s="23" t="n"/>
      <c r="D172" s="23" t="n"/>
      <c r="E172" s="23" t="n">
        <v>21</v>
      </c>
      <c r="F172" s="23" t="n">
        <v>0</v>
      </c>
      <c r="G172" s="9" t="n"/>
      <c r="H172" s="10" t="n"/>
      <c r="I172" s="11" t="n"/>
    </row>
    <row r="173">
      <c r="A173" s="22" t="n"/>
      <c r="B173" s="23" t="n"/>
      <c r="C173" s="23" t="n"/>
      <c r="D173" s="23" t="n"/>
      <c r="E173" s="23" t="n">
        <v>20</v>
      </c>
      <c r="F173" s="23" t="n">
        <v>0</v>
      </c>
      <c r="G173" s="26" t="inlineStr">
        <is>
          <t>da10_delay_effect</t>
        </is>
      </c>
      <c r="H173" s="27" t="inlineStr">
        <is>
          <t>RO</t>
        </is>
      </c>
      <c r="I173" s="28" t="inlineStr"/>
    </row>
    <row r="174">
      <c r="A174" s="22" t="n"/>
      <c r="B174" s="23" t="n"/>
      <c r="C174" s="23" t="n"/>
      <c r="D174" s="23" t="n"/>
      <c r="E174" s="23" t="n">
        <v>19</v>
      </c>
      <c r="F174" s="23" t="n">
        <v>0</v>
      </c>
      <c r="G174" s="26" t="n"/>
      <c r="H174" s="27" t="n"/>
      <c r="I174" s="28" t="n"/>
    </row>
    <row r="175">
      <c r="A175" s="22" t="n"/>
      <c r="B175" s="23" t="n"/>
      <c r="C175" s="23" t="n"/>
      <c r="D175" s="23" t="n"/>
      <c r="E175" s="23" t="n">
        <v>18</v>
      </c>
      <c r="F175" s="23" t="n">
        <v>0</v>
      </c>
      <c r="G175" s="26" t="n"/>
      <c r="H175" s="27" t="n"/>
      <c r="I175" s="28" t="n"/>
    </row>
    <row r="176">
      <c r="A176" s="22" t="n"/>
      <c r="B176" s="23" t="n"/>
      <c r="C176" s="23" t="n"/>
      <c r="D176" s="23" t="n"/>
      <c r="E176" s="23" t="n">
        <v>17</v>
      </c>
      <c r="F176" s="23" t="n">
        <v>0</v>
      </c>
      <c r="G176" s="26" t="n"/>
      <c r="H176" s="27" t="n"/>
      <c r="I176" s="28" t="n"/>
    </row>
    <row r="177">
      <c r="A177" s="22" t="n"/>
      <c r="B177" s="23" t="n"/>
      <c r="C177" s="23" t="n"/>
      <c r="D177" s="23" t="n"/>
      <c r="E177" s="23" t="n">
        <v>16</v>
      </c>
      <c r="F177" s="23" t="n">
        <v>0</v>
      </c>
      <c r="G177" s="26" t="n"/>
      <c r="H177" s="27" t="n"/>
      <c r="I177" s="28" t="n"/>
    </row>
    <row r="178">
      <c r="A178" s="22" t="n"/>
      <c r="B178" s="23" t="n"/>
      <c r="C178" s="23" t="n"/>
      <c r="D178" s="23" t="str">
        <f>DEC2HEX(128*F178+64*F179+32*F180+16*F181+8*F182+4*F183+2*F184+1*F185,2)&amp;"h"</f>
        <v>00h</v>
      </c>
      <c r="E178" s="23" t="n">
        <v>15</v>
      </c>
      <c r="F178" s="23" t="n">
        <v>0</v>
      </c>
      <c r="G178" s="9" t="inlineStr">
        <is>
          <t>RESERVED</t>
        </is>
      </c>
      <c r="H178" s="10" t="inlineStr">
        <is>
          <t>RO</t>
        </is>
      </c>
      <c r="I178" s="11" t="inlineStr">
        <is>
          <t>Reserved; keep at reset value.</t>
        </is>
      </c>
    </row>
    <row r="179">
      <c r="A179" s="22" t="n"/>
      <c r="B179" s="23" t="n"/>
      <c r="C179" s="23" t="n"/>
      <c r="D179" s="23" t="n"/>
      <c r="E179" s="23" t="n">
        <v>14</v>
      </c>
      <c r="F179" s="23" t="n">
        <v>0</v>
      </c>
      <c r="G179" s="9" t="n"/>
      <c r="H179" s="10" t="n"/>
      <c r="I179" s="11" t="n"/>
    </row>
    <row r="180">
      <c r="A180" s="22" t="n"/>
      <c r="B180" s="23" t="n"/>
      <c r="C180" s="23" t="n"/>
      <c r="D180" s="23" t="n"/>
      <c r="E180" s="23" t="n">
        <v>13</v>
      </c>
      <c r="F180" s="23" t="n">
        <v>0</v>
      </c>
      <c r="G180" s="9" t="n"/>
      <c r="H180" s="10" t="n"/>
      <c r="I180" s="11" t="n"/>
    </row>
    <row r="181">
      <c r="A181" s="22" t="n"/>
      <c r="B181" s="23" t="n"/>
      <c r="C181" s="23" t="n"/>
      <c r="D181" s="23" t="n"/>
      <c r="E181" s="23" t="n">
        <v>12</v>
      </c>
      <c r="F181" s="23" t="n">
        <v>0</v>
      </c>
      <c r="G181" s="26" t="inlineStr">
        <is>
          <t>da9_delay_effect</t>
        </is>
      </c>
      <c r="H181" s="27" t="inlineStr">
        <is>
          <t>RO</t>
        </is>
      </c>
      <c r="I181" s="28" t="inlineStr"/>
    </row>
    <row r="182">
      <c r="A182" s="22" t="n"/>
      <c r="B182" s="23" t="n"/>
      <c r="C182" s="23" t="n"/>
      <c r="D182" s="23" t="n"/>
      <c r="E182" s="23" t="n">
        <v>11</v>
      </c>
      <c r="F182" s="23" t="n">
        <v>0</v>
      </c>
      <c r="G182" s="26" t="n"/>
      <c r="H182" s="27" t="n"/>
      <c r="I182" s="28" t="n"/>
    </row>
    <row r="183">
      <c r="A183" s="22" t="n"/>
      <c r="B183" s="23" t="n"/>
      <c r="C183" s="23" t="n"/>
      <c r="D183" s="23" t="n"/>
      <c r="E183" s="23" t="n">
        <v>10</v>
      </c>
      <c r="F183" s="23" t="n">
        <v>0</v>
      </c>
      <c r="G183" s="26" t="n"/>
      <c r="H183" s="27" t="n"/>
      <c r="I183" s="28" t="n"/>
    </row>
    <row r="184">
      <c r="A184" s="22" t="n"/>
      <c r="B184" s="23" t="n"/>
      <c r="C184" s="23" t="n"/>
      <c r="D184" s="23" t="n"/>
      <c r="E184" s="23" t="n">
        <v>9</v>
      </c>
      <c r="F184" s="23" t="n">
        <v>0</v>
      </c>
      <c r="G184" s="26" t="n"/>
      <c r="H184" s="27" t="n"/>
      <c r="I184" s="28" t="n"/>
    </row>
    <row r="185">
      <c r="A185" s="22" t="n"/>
      <c r="B185" s="23" t="n"/>
      <c r="C185" s="23" t="n"/>
      <c r="D185" s="23" t="n"/>
      <c r="E185" s="23" t="n">
        <v>8</v>
      </c>
      <c r="F185" s="23" t="n">
        <v>0</v>
      </c>
      <c r="G185" s="26" t="n"/>
      <c r="H185" s="27" t="n"/>
      <c r="I185" s="28" t="n"/>
    </row>
    <row r="186">
      <c r="A186" s="22" t="n"/>
      <c r="B186" s="23" t="n"/>
      <c r="C186" s="23" t="n"/>
      <c r="D186" s="23" t="str">
        <f>DEC2HEX(128*F186+64*F187+32*F188+16*F189+8*F190+4*F191+2*F192+1*F193,2)&amp;"h"</f>
        <v>00h</v>
      </c>
      <c r="E186" s="23" t="n">
        <v>7</v>
      </c>
      <c r="F186" s="23" t="n">
        <v>0</v>
      </c>
      <c r="G186" s="9" t="inlineStr">
        <is>
          <t>RESERVED</t>
        </is>
      </c>
      <c r="H186" s="10" t="inlineStr">
        <is>
          <t>RO</t>
        </is>
      </c>
      <c r="I186" s="11" t="inlineStr">
        <is>
          <t>Reserved; keep at reset value.</t>
        </is>
      </c>
    </row>
    <row r="187">
      <c r="A187" s="22" t="n"/>
      <c r="B187" s="23" t="n"/>
      <c r="C187" s="23" t="n"/>
      <c r="D187" s="23" t="n"/>
      <c r="E187" s="23" t="n">
        <v>6</v>
      </c>
      <c r="F187" s="23" t="n">
        <v>0</v>
      </c>
      <c r="G187" s="9" t="n"/>
      <c r="H187" s="10" t="n"/>
      <c r="I187" s="11" t="n"/>
    </row>
    <row r="188">
      <c r="A188" s="22" t="n"/>
      <c r="B188" s="23" t="n"/>
      <c r="C188" s="23" t="n"/>
      <c r="D188" s="23" t="n"/>
      <c r="E188" s="23" t="n">
        <v>5</v>
      </c>
      <c r="F188" s="23" t="n">
        <v>0</v>
      </c>
      <c r="G188" s="9" t="n"/>
      <c r="H188" s="10" t="n"/>
      <c r="I188" s="11" t="n"/>
    </row>
    <row r="189">
      <c r="A189" s="22" t="n"/>
      <c r="B189" s="23" t="n"/>
      <c r="C189" s="23" t="n"/>
      <c r="D189" s="23" t="n"/>
      <c r="E189" s="23" t="n">
        <v>4</v>
      </c>
      <c r="F189" s="23" t="n">
        <v>0</v>
      </c>
      <c r="G189" s="26" t="inlineStr">
        <is>
          <t>da8_delay_effect</t>
        </is>
      </c>
      <c r="H189" s="27" t="inlineStr">
        <is>
          <t>RO</t>
        </is>
      </c>
      <c r="I189" s="28" t="inlineStr"/>
    </row>
    <row r="190">
      <c r="A190" s="22" t="n"/>
      <c r="B190" s="23" t="n"/>
      <c r="C190" s="23" t="n"/>
      <c r="D190" s="23" t="n"/>
      <c r="E190" s="23" t="n">
        <v>3</v>
      </c>
      <c r="F190" s="23" t="n">
        <v>0</v>
      </c>
      <c r="G190" s="26" t="n"/>
      <c r="H190" s="27" t="n"/>
      <c r="I190" s="28" t="n"/>
    </row>
    <row r="191">
      <c r="A191" s="22" t="n"/>
      <c r="B191" s="23" t="n"/>
      <c r="C191" s="23" t="n"/>
      <c r="D191" s="23" t="n"/>
      <c r="E191" s="23" t="n">
        <v>2</v>
      </c>
      <c r="F191" s="23" t="n">
        <v>0</v>
      </c>
      <c r="G191" s="26" t="n"/>
      <c r="H191" s="27" t="n"/>
      <c r="I191" s="28" t="n"/>
    </row>
    <row r="192">
      <c r="A192" s="22" t="n"/>
      <c r="B192" s="23" t="n"/>
      <c r="C192" s="23" t="n"/>
      <c r="D192" s="23" t="n"/>
      <c r="E192" s="23" t="n">
        <v>1</v>
      </c>
      <c r="F192" s="23" t="n">
        <v>0</v>
      </c>
      <c r="G192" s="26" t="n"/>
      <c r="H192" s="27" t="n"/>
      <c r="I192" s="28" t="n"/>
    </row>
    <row r="193">
      <c r="A193" s="24" t="n"/>
      <c r="B193" s="25" t="n"/>
      <c r="C193" s="25" t="n"/>
      <c r="D193" s="25" t="n"/>
      <c r="E193" s="25" t="n">
        <v>0</v>
      </c>
      <c r="F193" s="25" t="n">
        <v>0</v>
      </c>
      <c r="G193" s="29" t="n"/>
      <c r="H193" s="30" t="n"/>
      <c r="I193" s="31" t="n"/>
    </row>
    <row r="194">
      <c r="A194" s="2" t="inlineStr">
        <is>
          <t>PB_DELAY_CTRL_0</t>
        </is>
      </c>
      <c r="B194" s="3" t="str">
        <f>DEC2HEX(24,4)&amp;"h"</f>
        <v>0018h</v>
      </c>
      <c r="C194" s="3" t="str">
        <f>LEFT(D194,2)&amp;LEFT(D202,2)&amp;LEFT(D210,2)&amp;LEFT(D218,2)&amp;"h"</f>
        <v>00000000h</v>
      </c>
      <c r="D194" s="3" t="str">
        <f>DEC2HEX(128*F194+64*F195+32*F196+16*F197+8*F198+4*F199+2*F200+1*F201,2)&amp;"h"</f>
        <v>00h</v>
      </c>
      <c r="E194" s="3" t="n">
        <v>31</v>
      </c>
      <c r="F194" s="3" t="n">
        <v>0</v>
      </c>
      <c r="G194" s="4" t="inlineStr">
        <is>
          <t>RESERVED</t>
        </is>
      </c>
      <c r="H194" s="5" t="inlineStr">
        <is>
          <t>RO</t>
        </is>
      </c>
      <c r="I194" s="6" t="inlineStr">
        <is>
          <t>Reserved; keep at reset value.</t>
        </is>
      </c>
    </row>
    <row r="195">
      <c r="A195" s="7" t="n"/>
      <c r="B195" s="8" t="n"/>
      <c r="C195" s="8" t="n"/>
      <c r="D195" s="8" t="n"/>
      <c r="E195" s="8" t="n">
        <v>30</v>
      </c>
      <c r="F195" s="8" t="n">
        <v>0</v>
      </c>
      <c r="G195" s="9" t="n"/>
      <c r="H195" s="10" t="n"/>
      <c r="I195" s="11" t="n"/>
    </row>
    <row r="196">
      <c r="A196" s="7" t="n"/>
      <c r="B196" s="8" t="n"/>
      <c r="C196" s="8" t="n"/>
      <c r="D196" s="8" t="n"/>
      <c r="E196" s="8" t="n">
        <v>29</v>
      </c>
      <c r="F196" s="8" t="n">
        <v>0</v>
      </c>
      <c r="G196" s="9" t="n"/>
      <c r="H196" s="10" t="n"/>
      <c r="I196" s="11" t="n"/>
    </row>
    <row r="197">
      <c r="A197" s="7" t="n"/>
      <c r="B197" s="8" t="n"/>
      <c r="C197" s="8" t="n"/>
      <c r="D197" s="8" t="n"/>
      <c r="E197" s="8" t="n">
        <v>28</v>
      </c>
      <c r="F197" s="8" t="n">
        <v>0</v>
      </c>
      <c r="G197" s="12" t="inlineStr">
        <is>
          <t>db3_delay_value</t>
        </is>
      </c>
      <c r="H197" s="13" t="inlineStr">
        <is>
          <t>RW</t>
        </is>
      </c>
      <c r="I197" s="14" t="inlineStr"/>
    </row>
    <row r="198">
      <c r="A198" s="7" t="n"/>
      <c r="B198" s="8" t="n"/>
      <c r="C198" s="8" t="n"/>
      <c r="D198" s="8" t="n"/>
      <c r="E198" s="8" t="n">
        <v>27</v>
      </c>
      <c r="F198" s="8" t="n">
        <v>0</v>
      </c>
      <c r="G198" s="12" t="n"/>
      <c r="H198" s="13" t="n"/>
      <c r="I198" s="14" t="n"/>
    </row>
    <row r="199">
      <c r="A199" s="7" t="n"/>
      <c r="B199" s="8" t="n"/>
      <c r="C199" s="8" t="n"/>
      <c r="D199" s="8" t="n"/>
      <c r="E199" s="8" t="n">
        <v>26</v>
      </c>
      <c r="F199" s="8" t="n">
        <v>0</v>
      </c>
      <c r="G199" s="12" t="n"/>
      <c r="H199" s="13" t="n"/>
      <c r="I199" s="14" t="n"/>
    </row>
    <row r="200">
      <c r="A200" s="7" t="n"/>
      <c r="B200" s="8" t="n"/>
      <c r="C200" s="8" t="n"/>
      <c r="D200" s="8" t="n"/>
      <c r="E200" s="8" t="n">
        <v>25</v>
      </c>
      <c r="F200" s="8" t="n">
        <v>0</v>
      </c>
      <c r="G200" s="12" t="n"/>
      <c r="H200" s="13" t="n"/>
      <c r="I200" s="14" t="n"/>
    </row>
    <row r="201">
      <c r="A201" s="7" t="n"/>
      <c r="B201" s="8" t="n"/>
      <c r="C201" s="8" t="n"/>
      <c r="D201" s="8" t="n"/>
      <c r="E201" s="8" t="n">
        <v>24</v>
      </c>
      <c r="F201" s="8" t="n">
        <v>0</v>
      </c>
      <c r="G201" s="12" t="n"/>
      <c r="H201" s="13" t="n"/>
      <c r="I201" s="14" t="n"/>
    </row>
    <row r="202">
      <c r="A202" s="7" t="n"/>
      <c r="B202" s="8" t="n"/>
      <c r="C202" s="8" t="n"/>
      <c r="D202" s="8" t="str">
        <f>DEC2HEX(128*F202+64*F203+32*F204+16*F205+8*F206+4*F207+2*F208+1*F209,2)&amp;"h"</f>
        <v>00h</v>
      </c>
      <c r="E202" s="8" t="n">
        <v>23</v>
      </c>
      <c r="F202" s="8" t="n">
        <v>0</v>
      </c>
      <c r="G202" s="9" t="inlineStr">
        <is>
          <t>RESERVED</t>
        </is>
      </c>
      <c r="H202" s="10" t="inlineStr">
        <is>
          <t>RO</t>
        </is>
      </c>
      <c r="I202" s="11" t="inlineStr">
        <is>
          <t>Reserved; keep at reset value.</t>
        </is>
      </c>
    </row>
    <row r="203">
      <c r="A203" s="7" t="n"/>
      <c r="B203" s="8" t="n"/>
      <c r="C203" s="8" t="n"/>
      <c r="D203" s="8" t="n"/>
      <c r="E203" s="8" t="n">
        <v>22</v>
      </c>
      <c r="F203" s="8" t="n">
        <v>0</v>
      </c>
      <c r="G203" s="9" t="n"/>
      <c r="H203" s="10" t="n"/>
      <c r="I203" s="11" t="n"/>
    </row>
    <row r="204">
      <c r="A204" s="7" t="n"/>
      <c r="B204" s="8" t="n"/>
      <c r="C204" s="8" t="n"/>
      <c r="D204" s="8" t="n"/>
      <c r="E204" s="8" t="n">
        <v>21</v>
      </c>
      <c r="F204" s="8" t="n">
        <v>0</v>
      </c>
      <c r="G204" s="9" t="n"/>
      <c r="H204" s="10" t="n"/>
      <c r="I204" s="11" t="n"/>
    </row>
    <row r="205">
      <c r="A205" s="7" t="n"/>
      <c r="B205" s="8" t="n"/>
      <c r="C205" s="8" t="n"/>
      <c r="D205" s="8" t="n"/>
      <c r="E205" s="8" t="n">
        <v>20</v>
      </c>
      <c r="F205" s="8" t="n">
        <v>0</v>
      </c>
      <c r="G205" s="12" t="inlineStr">
        <is>
          <t>db2_delay_value</t>
        </is>
      </c>
      <c r="H205" s="13" t="inlineStr">
        <is>
          <t>RW</t>
        </is>
      </c>
      <c r="I205" s="14" t="inlineStr"/>
    </row>
    <row r="206">
      <c r="A206" s="7" t="n"/>
      <c r="B206" s="8" t="n"/>
      <c r="C206" s="8" t="n"/>
      <c r="D206" s="8" t="n"/>
      <c r="E206" s="8" t="n">
        <v>19</v>
      </c>
      <c r="F206" s="8" t="n">
        <v>0</v>
      </c>
      <c r="G206" s="12" t="n"/>
      <c r="H206" s="13" t="n"/>
      <c r="I206" s="14" t="n"/>
    </row>
    <row r="207">
      <c r="A207" s="7" t="n"/>
      <c r="B207" s="8" t="n"/>
      <c r="C207" s="8" t="n"/>
      <c r="D207" s="8" t="n"/>
      <c r="E207" s="8" t="n">
        <v>18</v>
      </c>
      <c r="F207" s="8" t="n">
        <v>0</v>
      </c>
      <c r="G207" s="12" t="n"/>
      <c r="H207" s="13" t="n"/>
      <c r="I207" s="14" t="n"/>
    </row>
    <row r="208">
      <c r="A208" s="7" t="n"/>
      <c r="B208" s="8" t="n"/>
      <c r="C208" s="8" t="n"/>
      <c r="D208" s="8" t="n"/>
      <c r="E208" s="8" t="n">
        <v>17</v>
      </c>
      <c r="F208" s="8" t="n">
        <v>0</v>
      </c>
      <c r="G208" s="12" t="n"/>
      <c r="H208" s="13" t="n"/>
      <c r="I208" s="14" t="n"/>
    </row>
    <row r="209">
      <c r="A209" s="7" t="n"/>
      <c r="B209" s="8" t="n"/>
      <c r="C209" s="8" t="n"/>
      <c r="D209" s="8" t="n"/>
      <c r="E209" s="8" t="n">
        <v>16</v>
      </c>
      <c r="F209" s="8" t="n">
        <v>0</v>
      </c>
      <c r="G209" s="12" t="n"/>
      <c r="H209" s="13" t="n"/>
      <c r="I209" s="14" t="n"/>
    </row>
    <row r="210">
      <c r="A210" s="7" t="n"/>
      <c r="B210" s="8" t="n"/>
      <c r="C210" s="8" t="n"/>
      <c r="D210" s="8" t="str">
        <f>DEC2HEX(128*F210+64*F211+32*F212+16*F213+8*F214+4*F215+2*F216+1*F217,2)&amp;"h"</f>
        <v>00h</v>
      </c>
      <c r="E210" s="8" t="n">
        <v>15</v>
      </c>
      <c r="F210" s="8" t="n">
        <v>0</v>
      </c>
      <c r="G210" s="9" t="inlineStr">
        <is>
          <t>RESERVED</t>
        </is>
      </c>
      <c r="H210" s="10" t="inlineStr">
        <is>
          <t>RO</t>
        </is>
      </c>
      <c r="I210" s="11" t="inlineStr">
        <is>
          <t>Reserved; keep at reset value.</t>
        </is>
      </c>
    </row>
    <row r="211">
      <c r="A211" s="7" t="n"/>
      <c r="B211" s="8" t="n"/>
      <c r="C211" s="8" t="n"/>
      <c r="D211" s="8" t="n"/>
      <c r="E211" s="8" t="n">
        <v>14</v>
      </c>
      <c r="F211" s="8" t="n">
        <v>0</v>
      </c>
      <c r="G211" s="9" t="n"/>
      <c r="H211" s="10" t="n"/>
      <c r="I211" s="11" t="n"/>
    </row>
    <row r="212">
      <c r="A212" s="7" t="n"/>
      <c r="B212" s="8" t="n"/>
      <c r="C212" s="8" t="n"/>
      <c r="D212" s="8" t="n"/>
      <c r="E212" s="8" t="n">
        <v>13</v>
      </c>
      <c r="F212" s="8" t="n">
        <v>0</v>
      </c>
      <c r="G212" s="9" t="n"/>
      <c r="H212" s="10" t="n"/>
      <c r="I212" s="11" t="n"/>
    </row>
    <row r="213">
      <c r="A213" s="7" t="n"/>
      <c r="B213" s="8" t="n"/>
      <c r="C213" s="8" t="n"/>
      <c r="D213" s="8" t="n"/>
      <c r="E213" s="8" t="n">
        <v>12</v>
      </c>
      <c r="F213" s="8" t="n">
        <v>0</v>
      </c>
      <c r="G213" s="12" t="inlineStr">
        <is>
          <t>db1_delay_value</t>
        </is>
      </c>
      <c r="H213" s="13" t="inlineStr">
        <is>
          <t>RW</t>
        </is>
      </c>
      <c r="I213" s="14" t="inlineStr"/>
    </row>
    <row r="214">
      <c r="A214" s="7" t="n"/>
      <c r="B214" s="8" t="n"/>
      <c r="C214" s="8" t="n"/>
      <c r="D214" s="8" t="n"/>
      <c r="E214" s="8" t="n">
        <v>11</v>
      </c>
      <c r="F214" s="8" t="n">
        <v>0</v>
      </c>
      <c r="G214" s="12" t="n"/>
      <c r="H214" s="13" t="n"/>
      <c r="I214" s="14" t="n"/>
    </row>
    <row r="215">
      <c r="A215" s="7" t="n"/>
      <c r="B215" s="8" t="n"/>
      <c r="C215" s="8" t="n"/>
      <c r="D215" s="8" t="n"/>
      <c r="E215" s="8" t="n">
        <v>10</v>
      </c>
      <c r="F215" s="8" t="n">
        <v>0</v>
      </c>
      <c r="G215" s="12" t="n"/>
      <c r="H215" s="13" t="n"/>
      <c r="I215" s="14" t="n"/>
    </row>
    <row r="216">
      <c r="A216" s="7" t="n"/>
      <c r="B216" s="8" t="n"/>
      <c r="C216" s="8" t="n"/>
      <c r="D216" s="8" t="n"/>
      <c r="E216" s="8" t="n">
        <v>9</v>
      </c>
      <c r="F216" s="8" t="n">
        <v>0</v>
      </c>
      <c r="G216" s="12" t="n"/>
      <c r="H216" s="13" t="n"/>
      <c r="I216" s="14" t="n"/>
    </row>
    <row r="217">
      <c r="A217" s="7" t="n"/>
      <c r="B217" s="8" t="n"/>
      <c r="C217" s="8" t="n"/>
      <c r="D217" s="8" t="n"/>
      <c r="E217" s="8" t="n">
        <v>8</v>
      </c>
      <c r="F217" s="8" t="n">
        <v>0</v>
      </c>
      <c r="G217" s="12" t="n"/>
      <c r="H217" s="13" t="n"/>
      <c r="I217" s="14" t="n"/>
    </row>
    <row r="218">
      <c r="A218" s="7" t="n"/>
      <c r="B218" s="8" t="n"/>
      <c r="C218" s="8" t="n"/>
      <c r="D218" s="8" t="str">
        <f>DEC2HEX(128*F218+64*F219+32*F220+16*F221+8*F222+4*F223+2*F224+1*F225,2)&amp;"h"</f>
        <v>00h</v>
      </c>
      <c r="E218" s="8" t="n">
        <v>7</v>
      </c>
      <c r="F218" s="8" t="n">
        <v>0</v>
      </c>
      <c r="G218" s="9" t="inlineStr">
        <is>
          <t>RESERVED</t>
        </is>
      </c>
      <c r="H218" s="10" t="inlineStr">
        <is>
          <t>RO</t>
        </is>
      </c>
      <c r="I218" s="11" t="inlineStr">
        <is>
          <t>Reserved; keep at reset value.</t>
        </is>
      </c>
    </row>
    <row r="219">
      <c r="A219" s="7" t="n"/>
      <c r="B219" s="8" t="n"/>
      <c r="C219" s="8" t="n"/>
      <c r="D219" s="8" t="n"/>
      <c r="E219" s="8" t="n">
        <v>6</v>
      </c>
      <c r="F219" s="8" t="n">
        <v>0</v>
      </c>
      <c r="G219" s="9" t="n"/>
      <c r="H219" s="10" t="n"/>
      <c r="I219" s="11" t="n"/>
    </row>
    <row r="220">
      <c r="A220" s="7" t="n"/>
      <c r="B220" s="8" t="n"/>
      <c r="C220" s="8" t="n"/>
      <c r="D220" s="8" t="n"/>
      <c r="E220" s="8" t="n">
        <v>5</v>
      </c>
      <c r="F220" s="8" t="n">
        <v>0</v>
      </c>
      <c r="G220" s="9" t="n"/>
      <c r="H220" s="10" t="n"/>
      <c r="I220" s="11" t="n"/>
    </row>
    <row r="221">
      <c r="A221" s="7" t="n"/>
      <c r="B221" s="8" t="n"/>
      <c r="C221" s="8" t="n"/>
      <c r="D221" s="8" t="n"/>
      <c r="E221" s="8" t="n">
        <v>4</v>
      </c>
      <c r="F221" s="8" t="n">
        <v>0</v>
      </c>
      <c r="G221" s="12" t="inlineStr">
        <is>
          <t>db0_delay_value</t>
        </is>
      </c>
      <c r="H221" s="13" t="inlineStr">
        <is>
          <t>RW</t>
        </is>
      </c>
      <c r="I221" s="14" t="inlineStr"/>
    </row>
    <row r="222">
      <c r="A222" s="7" t="n"/>
      <c r="B222" s="8" t="n"/>
      <c r="C222" s="8" t="n"/>
      <c r="D222" s="8" t="n"/>
      <c r="E222" s="8" t="n">
        <v>3</v>
      </c>
      <c r="F222" s="8" t="n">
        <v>0</v>
      </c>
      <c r="G222" s="12" t="n"/>
      <c r="H222" s="13" t="n"/>
      <c r="I222" s="14" t="n"/>
    </row>
    <row r="223">
      <c r="A223" s="7" t="n"/>
      <c r="B223" s="8" t="n"/>
      <c r="C223" s="8" t="n"/>
      <c r="D223" s="8" t="n"/>
      <c r="E223" s="8" t="n">
        <v>2</v>
      </c>
      <c r="F223" s="8" t="n">
        <v>0</v>
      </c>
      <c r="G223" s="12" t="n"/>
      <c r="H223" s="13" t="n"/>
      <c r="I223" s="14" t="n"/>
    </row>
    <row r="224">
      <c r="A224" s="7" t="n"/>
      <c r="B224" s="8" t="n"/>
      <c r="C224" s="8" t="n"/>
      <c r="D224" s="8" t="n"/>
      <c r="E224" s="8" t="n">
        <v>1</v>
      </c>
      <c r="F224" s="8" t="n">
        <v>0</v>
      </c>
      <c r="G224" s="12" t="n"/>
      <c r="H224" s="13" t="n"/>
      <c r="I224" s="14" t="n"/>
    </row>
    <row r="225">
      <c r="A225" s="15" t="n"/>
      <c r="B225" s="16" t="n"/>
      <c r="C225" s="16" t="n"/>
      <c r="D225" s="16" t="n"/>
      <c r="E225" s="16" t="n">
        <v>0</v>
      </c>
      <c r="F225" s="16" t="n">
        <v>0</v>
      </c>
      <c r="G225" s="17" t="n"/>
      <c r="H225" s="18" t="n"/>
      <c r="I225" s="19" t="n"/>
    </row>
    <row r="226">
      <c r="A226" s="20" t="inlineStr">
        <is>
          <t>PB_DELAY_CTRL_1</t>
        </is>
      </c>
      <c r="B226" s="21" t="str">
        <f>DEC2HEX(28,4)&amp;"h"</f>
        <v>001Ch</v>
      </c>
      <c r="C226" s="21" t="str">
        <f>LEFT(D226,2)&amp;LEFT(D234,2)&amp;LEFT(D242,2)&amp;LEFT(D250,2)&amp;"h"</f>
        <v>00000000h</v>
      </c>
      <c r="D226" s="21" t="str">
        <f>DEC2HEX(128*F226+64*F227+32*F228+16*F229+8*F230+4*F231+2*F232+1*F233,2)&amp;"h"</f>
        <v>00h</v>
      </c>
      <c r="E226" s="21" t="n">
        <v>31</v>
      </c>
      <c r="F226" s="21" t="n">
        <v>0</v>
      </c>
      <c r="G226" s="4" t="inlineStr">
        <is>
          <t>RESERVED</t>
        </is>
      </c>
      <c r="H226" s="5" t="inlineStr">
        <is>
          <t>RO</t>
        </is>
      </c>
      <c r="I226" s="6" t="inlineStr">
        <is>
          <t>Reserved; keep at reset value.</t>
        </is>
      </c>
    </row>
    <row r="227">
      <c r="A227" s="22" t="n"/>
      <c r="B227" s="23" t="n"/>
      <c r="C227" s="23" t="n"/>
      <c r="D227" s="23" t="n"/>
      <c r="E227" s="23" t="n">
        <v>30</v>
      </c>
      <c r="F227" s="23" t="n">
        <v>0</v>
      </c>
      <c r="G227" s="9" t="n"/>
      <c r="H227" s="10" t="n"/>
      <c r="I227" s="11" t="n"/>
    </row>
    <row r="228">
      <c r="A228" s="22" t="n"/>
      <c r="B228" s="23" t="n"/>
      <c r="C228" s="23" t="n"/>
      <c r="D228" s="23" t="n"/>
      <c r="E228" s="23" t="n">
        <v>29</v>
      </c>
      <c r="F228" s="23" t="n">
        <v>0</v>
      </c>
      <c r="G228" s="9" t="n"/>
      <c r="H228" s="10" t="n"/>
      <c r="I228" s="11" t="n"/>
    </row>
    <row r="229">
      <c r="A229" s="22" t="n"/>
      <c r="B229" s="23" t="n"/>
      <c r="C229" s="23" t="n"/>
      <c r="D229" s="23" t="n"/>
      <c r="E229" s="23" t="n">
        <v>28</v>
      </c>
      <c r="F229" s="23" t="n">
        <v>0</v>
      </c>
      <c r="G229" s="12" t="inlineStr">
        <is>
          <t>db7_delay_value</t>
        </is>
      </c>
      <c r="H229" s="13" t="inlineStr">
        <is>
          <t>RW</t>
        </is>
      </c>
      <c r="I229" s="14" t="inlineStr"/>
    </row>
    <row r="230">
      <c r="A230" s="22" t="n"/>
      <c r="B230" s="23" t="n"/>
      <c r="C230" s="23" t="n"/>
      <c r="D230" s="23" t="n"/>
      <c r="E230" s="23" t="n">
        <v>27</v>
      </c>
      <c r="F230" s="23" t="n">
        <v>0</v>
      </c>
      <c r="G230" s="12" t="n"/>
      <c r="H230" s="13" t="n"/>
      <c r="I230" s="14" t="n"/>
    </row>
    <row r="231">
      <c r="A231" s="22" t="n"/>
      <c r="B231" s="23" t="n"/>
      <c r="C231" s="23" t="n"/>
      <c r="D231" s="23" t="n"/>
      <c r="E231" s="23" t="n">
        <v>26</v>
      </c>
      <c r="F231" s="23" t="n">
        <v>0</v>
      </c>
      <c r="G231" s="12" t="n"/>
      <c r="H231" s="13" t="n"/>
      <c r="I231" s="14" t="n"/>
    </row>
    <row r="232">
      <c r="A232" s="22" t="n"/>
      <c r="B232" s="23" t="n"/>
      <c r="C232" s="23" t="n"/>
      <c r="D232" s="23" t="n"/>
      <c r="E232" s="23" t="n">
        <v>25</v>
      </c>
      <c r="F232" s="23" t="n">
        <v>0</v>
      </c>
      <c r="G232" s="12" t="n"/>
      <c r="H232" s="13" t="n"/>
      <c r="I232" s="14" t="n"/>
    </row>
    <row r="233">
      <c r="A233" s="22" t="n"/>
      <c r="B233" s="23" t="n"/>
      <c r="C233" s="23" t="n"/>
      <c r="D233" s="23" t="n"/>
      <c r="E233" s="23" t="n">
        <v>24</v>
      </c>
      <c r="F233" s="23" t="n">
        <v>0</v>
      </c>
      <c r="G233" s="12" t="n"/>
      <c r="H233" s="13" t="n"/>
      <c r="I233" s="14" t="n"/>
    </row>
    <row r="234">
      <c r="A234" s="22" t="n"/>
      <c r="B234" s="23" t="n"/>
      <c r="C234" s="23" t="n"/>
      <c r="D234" s="23" t="str">
        <f>DEC2HEX(128*F234+64*F235+32*F236+16*F237+8*F238+4*F239+2*F240+1*F241,2)&amp;"h"</f>
        <v>00h</v>
      </c>
      <c r="E234" s="23" t="n">
        <v>23</v>
      </c>
      <c r="F234" s="23" t="n">
        <v>0</v>
      </c>
      <c r="G234" s="9" t="inlineStr">
        <is>
          <t>RESERVED</t>
        </is>
      </c>
      <c r="H234" s="10" t="inlineStr">
        <is>
          <t>RO</t>
        </is>
      </c>
      <c r="I234" s="11" t="inlineStr">
        <is>
          <t>Reserved; keep at reset value.</t>
        </is>
      </c>
    </row>
    <row r="235">
      <c r="A235" s="22" t="n"/>
      <c r="B235" s="23" t="n"/>
      <c r="C235" s="23" t="n"/>
      <c r="D235" s="23" t="n"/>
      <c r="E235" s="23" t="n">
        <v>22</v>
      </c>
      <c r="F235" s="23" t="n">
        <v>0</v>
      </c>
      <c r="G235" s="9" t="n"/>
      <c r="H235" s="10" t="n"/>
      <c r="I235" s="11" t="n"/>
    </row>
    <row r="236">
      <c r="A236" s="22" t="n"/>
      <c r="B236" s="23" t="n"/>
      <c r="C236" s="23" t="n"/>
      <c r="D236" s="23" t="n"/>
      <c r="E236" s="23" t="n">
        <v>21</v>
      </c>
      <c r="F236" s="23" t="n">
        <v>0</v>
      </c>
      <c r="G236" s="9" t="n"/>
      <c r="H236" s="10" t="n"/>
      <c r="I236" s="11" t="n"/>
    </row>
    <row r="237">
      <c r="A237" s="22" t="n"/>
      <c r="B237" s="23" t="n"/>
      <c r="C237" s="23" t="n"/>
      <c r="D237" s="23" t="n"/>
      <c r="E237" s="23" t="n">
        <v>20</v>
      </c>
      <c r="F237" s="23" t="n">
        <v>0</v>
      </c>
      <c r="G237" s="12" t="inlineStr">
        <is>
          <t>db6_delay_value</t>
        </is>
      </c>
      <c r="H237" s="13" t="inlineStr">
        <is>
          <t>RW</t>
        </is>
      </c>
      <c r="I237" s="14" t="inlineStr"/>
    </row>
    <row r="238">
      <c r="A238" s="22" t="n"/>
      <c r="B238" s="23" t="n"/>
      <c r="C238" s="23" t="n"/>
      <c r="D238" s="23" t="n"/>
      <c r="E238" s="23" t="n">
        <v>19</v>
      </c>
      <c r="F238" s="23" t="n">
        <v>0</v>
      </c>
      <c r="G238" s="12" t="n"/>
      <c r="H238" s="13" t="n"/>
      <c r="I238" s="14" t="n"/>
    </row>
    <row r="239">
      <c r="A239" s="22" t="n"/>
      <c r="B239" s="23" t="n"/>
      <c r="C239" s="23" t="n"/>
      <c r="D239" s="23" t="n"/>
      <c r="E239" s="23" t="n">
        <v>18</v>
      </c>
      <c r="F239" s="23" t="n">
        <v>0</v>
      </c>
      <c r="G239" s="12" t="n"/>
      <c r="H239" s="13" t="n"/>
      <c r="I239" s="14" t="n"/>
    </row>
    <row r="240">
      <c r="A240" s="22" t="n"/>
      <c r="B240" s="23" t="n"/>
      <c r="C240" s="23" t="n"/>
      <c r="D240" s="23" t="n"/>
      <c r="E240" s="23" t="n">
        <v>17</v>
      </c>
      <c r="F240" s="23" t="n">
        <v>0</v>
      </c>
      <c r="G240" s="12" t="n"/>
      <c r="H240" s="13" t="n"/>
      <c r="I240" s="14" t="n"/>
    </row>
    <row r="241">
      <c r="A241" s="22" t="n"/>
      <c r="B241" s="23" t="n"/>
      <c r="C241" s="23" t="n"/>
      <c r="D241" s="23" t="n"/>
      <c r="E241" s="23" t="n">
        <v>16</v>
      </c>
      <c r="F241" s="23" t="n">
        <v>0</v>
      </c>
      <c r="G241" s="12" t="n"/>
      <c r="H241" s="13" t="n"/>
      <c r="I241" s="14" t="n"/>
    </row>
    <row r="242">
      <c r="A242" s="22" t="n"/>
      <c r="B242" s="23" t="n"/>
      <c r="C242" s="23" t="n"/>
      <c r="D242" s="23" t="str">
        <f>DEC2HEX(128*F242+64*F243+32*F244+16*F245+8*F246+4*F247+2*F248+1*F249,2)&amp;"h"</f>
        <v>00h</v>
      </c>
      <c r="E242" s="23" t="n">
        <v>15</v>
      </c>
      <c r="F242" s="23" t="n">
        <v>0</v>
      </c>
      <c r="G242" s="9" t="inlineStr">
        <is>
          <t>RESERVED</t>
        </is>
      </c>
      <c r="H242" s="10" t="inlineStr">
        <is>
          <t>RO</t>
        </is>
      </c>
      <c r="I242" s="11" t="inlineStr">
        <is>
          <t>Reserved; keep at reset value.</t>
        </is>
      </c>
    </row>
    <row r="243">
      <c r="A243" s="22" t="n"/>
      <c r="B243" s="23" t="n"/>
      <c r="C243" s="23" t="n"/>
      <c r="D243" s="23" t="n"/>
      <c r="E243" s="23" t="n">
        <v>14</v>
      </c>
      <c r="F243" s="23" t="n">
        <v>0</v>
      </c>
      <c r="G243" s="9" t="n"/>
      <c r="H243" s="10" t="n"/>
      <c r="I243" s="11" t="n"/>
    </row>
    <row r="244">
      <c r="A244" s="22" t="n"/>
      <c r="B244" s="23" t="n"/>
      <c r="C244" s="23" t="n"/>
      <c r="D244" s="23" t="n"/>
      <c r="E244" s="23" t="n">
        <v>13</v>
      </c>
      <c r="F244" s="23" t="n">
        <v>0</v>
      </c>
      <c r="G244" s="9" t="n"/>
      <c r="H244" s="10" t="n"/>
      <c r="I244" s="11" t="n"/>
    </row>
    <row r="245">
      <c r="A245" s="22" t="n"/>
      <c r="B245" s="23" t="n"/>
      <c r="C245" s="23" t="n"/>
      <c r="D245" s="23" t="n"/>
      <c r="E245" s="23" t="n">
        <v>12</v>
      </c>
      <c r="F245" s="23" t="n">
        <v>0</v>
      </c>
      <c r="G245" s="12" t="inlineStr">
        <is>
          <t>db5_delay_value</t>
        </is>
      </c>
      <c r="H245" s="13" t="inlineStr">
        <is>
          <t>RW</t>
        </is>
      </c>
      <c r="I245" s="14" t="inlineStr"/>
    </row>
    <row r="246">
      <c r="A246" s="22" t="n"/>
      <c r="B246" s="23" t="n"/>
      <c r="C246" s="23" t="n"/>
      <c r="D246" s="23" t="n"/>
      <c r="E246" s="23" t="n">
        <v>11</v>
      </c>
      <c r="F246" s="23" t="n">
        <v>0</v>
      </c>
      <c r="G246" s="12" t="n"/>
      <c r="H246" s="13" t="n"/>
      <c r="I246" s="14" t="n"/>
    </row>
    <row r="247">
      <c r="A247" s="22" t="n"/>
      <c r="B247" s="23" t="n"/>
      <c r="C247" s="23" t="n"/>
      <c r="D247" s="23" t="n"/>
      <c r="E247" s="23" t="n">
        <v>10</v>
      </c>
      <c r="F247" s="23" t="n">
        <v>0</v>
      </c>
      <c r="G247" s="12" t="n"/>
      <c r="H247" s="13" t="n"/>
      <c r="I247" s="14" t="n"/>
    </row>
    <row r="248">
      <c r="A248" s="22" t="n"/>
      <c r="B248" s="23" t="n"/>
      <c r="C248" s="23" t="n"/>
      <c r="D248" s="23" t="n"/>
      <c r="E248" s="23" t="n">
        <v>9</v>
      </c>
      <c r="F248" s="23" t="n">
        <v>0</v>
      </c>
      <c r="G248" s="12" t="n"/>
      <c r="H248" s="13" t="n"/>
      <c r="I248" s="14" t="n"/>
    </row>
    <row r="249">
      <c r="A249" s="22" t="n"/>
      <c r="B249" s="23" t="n"/>
      <c r="C249" s="23" t="n"/>
      <c r="D249" s="23" t="n"/>
      <c r="E249" s="23" t="n">
        <v>8</v>
      </c>
      <c r="F249" s="23" t="n">
        <v>0</v>
      </c>
      <c r="G249" s="12" t="n"/>
      <c r="H249" s="13" t="n"/>
      <c r="I249" s="14" t="n"/>
    </row>
    <row r="250">
      <c r="A250" s="22" t="n"/>
      <c r="B250" s="23" t="n"/>
      <c r="C250" s="23" t="n"/>
      <c r="D250" s="23" t="str">
        <f>DEC2HEX(128*F250+64*F251+32*F252+16*F253+8*F254+4*F255+2*F256+1*F257,2)&amp;"h"</f>
        <v>00h</v>
      </c>
      <c r="E250" s="23" t="n">
        <v>7</v>
      </c>
      <c r="F250" s="23" t="n">
        <v>0</v>
      </c>
      <c r="G250" s="9" t="inlineStr">
        <is>
          <t>RESERVED</t>
        </is>
      </c>
      <c r="H250" s="10" t="inlineStr">
        <is>
          <t>RO</t>
        </is>
      </c>
      <c r="I250" s="11" t="inlineStr">
        <is>
          <t>Reserved; keep at reset value.</t>
        </is>
      </c>
    </row>
    <row r="251">
      <c r="A251" s="22" t="n"/>
      <c r="B251" s="23" t="n"/>
      <c r="C251" s="23" t="n"/>
      <c r="D251" s="23" t="n"/>
      <c r="E251" s="23" t="n">
        <v>6</v>
      </c>
      <c r="F251" s="23" t="n">
        <v>0</v>
      </c>
      <c r="G251" s="9" t="n"/>
      <c r="H251" s="10" t="n"/>
      <c r="I251" s="11" t="n"/>
    </row>
    <row r="252">
      <c r="A252" s="22" t="n"/>
      <c r="B252" s="23" t="n"/>
      <c r="C252" s="23" t="n"/>
      <c r="D252" s="23" t="n"/>
      <c r="E252" s="23" t="n">
        <v>5</v>
      </c>
      <c r="F252" s="23" t="n">
        <v>0</v>
      </c>
      <c r="G252" s="9" t="n"/>
      <c r="H252" s="10" t="n"/>
      <c r="I252" s="11" t="n"/>
    </row>
    <row r="253">
      <c r="A253" s="22" t="n"/>
      <c r="B253" s="23" t="n"/>
      <c r="C253" s="23" t="n"/>
      <c r="D253" s="23" t="n"/>
      <c r="E253" s="23" t="n">
        <v>4</v>
      </c>
      <c r="F253" s="23" t="n">
        <v>0</v>
      </c>
      <c r="G253" s="12" t="inlineStr">
        <is>
          <t>db4_delay_value</t>
        </is>
      </c>
      <c r="H253" s="13" t="inlineStr">
        <is>
          <t>RW</t>
        </is>
      </c>
      <c r="I253" s="14" t="inlineStr"/>
    </row>
    <row r="254">
      <c r="A254" s="22" t="n"/>
      <c r="B254" s="23" t="n"/>
      <c r="C254" s="23" t="n"/>
      <c r="D254" s="23" t="n"/>
      <c r="E254" s="23" t="n">
        <v>3</v>
      </c>
      <c r="F254" s="23" t="n">
        <v>0</v>
      </c>
      <c r="G254" s="12" t="n"/>
      <c r="H254" s="13" t="n"/>
      <c r="I254" s="14" t="n"/>
    </row>
    <row r="255">
      <c r="A255" s="22" t="n"/>
      <c r="B255" s="23" t="n"/>
      <c r="C255" s="23" t="n"/>
      <c r="D255" s="23" t="n"/>
      <c r="E255" s="23" t="n">
        <v>2</v>
      </c>
      <c r="F255" s="23" t="n">
        <v>0</v>
      </c>
      <c r="G255" s="12" t="n"/>
      <c r="H255" s="13" t="n"/>
      <c r="I255" s="14" t="n"/>
    </row>
    <row r="256">
      <c r="A256" s="22" t="n"/>
      <c r="B256" s="23" t="n"/>
      <c r="C256" s="23" t="n"/>
      <c r="D256" s="23" t="n"/>
      <c r="E256" s="23" t="n">
        <v>1</v>
      </c>
      <c r="F256" s="23" t="n">
        <v>0</v>
      </c>
      <c r="G256" s="12" t="n"/>
      <c r="H256" s="13" t="n"/>
      <c r="I256" s="14" t="n"/>
    </row>
    <row r="257">
      <c r="A257" s="24" t="n"/>
      <c r="B257" s="25" t="n"/>
      <c r="C257" s="25" t="n"/>
      <c r="D257" s="25" t="n"/>
      <c r="E257" s="25" t="n">
        <v>0</v>
      </c>
      <c r="F257" s="25" t="n">
        <v>0</v>
      </c>
      <c r="G257" s="17" t="n"/>
      <c r="H257" s="18" t="n"/>
      <c r="I257" s="19" t="n"/>
    </row>
    <row r="258">
      <c r="A258" s="2" t="inlineStr">
        <is>
          <t>PB_DELAY_CTRL_2</t>
        </is>
      </c>
      <c r="B258" s="3" t="str">
        <f>DEC2HEX(32,4)&amp;"h"</f>
        <v>0020h</v>
      </c>
      <c r="C258" s="3" t="str">
        <f>LEFT(D258,2)&amp;LEFT(D266,2)&amp;LEFT(D274,2)&amp;LEFT(D282,2)&amp;"h"</f>
        <v>00000000h</v>
      </c>
      <c r="D258" s="3" t="str">
        <f>DEC2HEX(128*F258+64*F259+32*F260+16*F261+8*F262+4*F263+2*F264+1*F265,2)&amp;"h"</f>
        <v>00h</v>
      </c>
      <c r="E258" s="3" t="n">
        <v>31</v>
      </c>
      <c r="F258" s="3" t="n">
        <v>0</v>
      </c>
      <c r="G258" s="4" t="inlineStr">
        <is>
          <t>RESERVED</t>
        </is>
      </c>
      <c r="H258" s="5" t="inlineStr">
        <is>
          <t>RO</t>
        </is>
      </c>
      <c r="I258" s="6" t="inlineStr">
        <is>
          <t>Reserved; keep at reset value.</t>
        </is>
      </c>
    </row>
    <row r="259">
      <c r="A259" s="7" t="n"/>
      <c r="B259" s="8" t="n"/>
      <c r="C259" s="8" t="n"/>
      <c r="D259" s="8" t="n"/>
      <c r="E259" s="8" t="n">
        <v>30</v>
      </c>
      <c r="F259" s="8" t="n">
        <v>0</v>
      </c>
      <c r="G259" s="9" t="n"/>
      <c r="H259" s="10" t="n"/>
      <c r="I259" s="11" t="n"/>
    </row>
    <row r="260">
      <c r="A260" s="7" t="n"/>
      <c r="B260" s="8" t="n"/>
      <c r="C260" s="8" t="n"/>
      <c r="D260" s="8" t="n"/>
      <c r="E260" s="8" t="n">
        <v>29</v>
      </c>
      <c r="F260" s="8" t="n">
        <v>0</v>
      </c>
      <c r="G260" s="9" t="n"/>
      <c r="H260" s="10" t="n"/>
      <c r="I260" s="11" t="n"/>
    </row>
    <row r="261">
      <c r="A261" s="7" t="n"/>
      <c r="B261" s="8" t="n"/>
      <c r="C261" s="8" t="n"/>
      <c r="D261" s="8" t="n"/>
      <c r="E261" s="8" t="n">
        <v>28</v>
      </c>
      <c r="F261" s="8" t="n">
        <v>0</v>
      </c>
      <c r="G261" s="12" t="inlineStr">
        <is>
          <t>db11_delay_value</t>
        </is>
      </c>
      <c r="H261" s="13" t="inlineStr">
        <is>
          <t>RW</t>
        </is>
      </c>
      <c r="I261" s="14" t="inlineStr"/>
    </row>
    <row r="262">
      <c r="A262" s="7" t="n"/>
      <c r="B262" s="8" t="n"/>
      <c r="C262" s="8" t="n"/>
      <c r="D262" s="8" t="n"/>
      <c r="E262" s="8" t="n">
        <v>27</v>
      </c>
      <c r="F262" s="8" t="n">
        <v>0</v>
      </c>
      <c r="G262" s="12" t="n"/>
      <c r="H262" s="13" t="n"/>
      <c r="I262" s="14" t="n"/>
    </row>
    <row r="263">
      <c r="A263" s="7" t="n"/>
      <c r="B263" s="8" t="n"/>
      <c r="C263" s="8" t="n"/>
      <c r="D263" s="8" t="n"/>
      <c r="E263" s="8" t="n">
        <v>26</v>
      </c>
      <c r="F263" s="8" t="n">
        <v>0</v>
      </c>
      <c r="G263" s="12" t="n"/>
      <c r="H263" s="13" t="n"/>
      <c r="I263" s="14" t="n"/>
    </row>
    <row r="264">
      <c r="A264" s="7" t="n"/>
      <c r="B264" s="8" t="n"/>
      <c r="C264" s="8" t="n"/>
      <c r="D264" s="8" t="n"/>
      <c r="E264" s="8" t="n">
        <v>25</v>
      </c>
      <c r="F264" s="8" t="n">
        <v>0</v>
      </c>
      <c r="G264" s="12" t="n"/>
      <c r="H264" s="13" t="n"/>
      <c r="I264" s="14" t="n"/>
    </row>
    <row r="265">
      <c r="A265" s="7" t="n"/>
      <c r="B265" s="8" t="n"/>
      <c r="C265" s="8" t="n"/>
      <c r="D265" s="8" t="n"/>
      <c r="E265" s="8" t="n">
        <v>24</v>
      </c>
      <c r="F265" s="8" t="n">
        <v>0</v>
      </c>
      <c r="G265" s="12" t="n"/>
      <c r="H265" s="13" t="n"/>
      <c r="I265" s="14" t="n"/>
    </row>
    <row r="266">
      <c r="A266" s="7" t="n"/>
      <c r="B266" s="8" t="n"/>
      <c r="C266" s="8" t="n"/>
      <c r="D266" s="8" t="str">
        <f>DEC2HEX(128*F266+64*F267+32*F268+16*F269+8*F270+4*F271+2*F272+1*F273,2)&amp;"h"</f>
        <v>00h</v>
      </c>
      <c r="E266" s="8" t="n">
        <v>23</v>
      </c>
      <c r="F266" s="8" t="n">
        <v>0</v>
      </c>
      <c r="G266" s="9" t="inlineStr">
        <is>
          <t>RESERVED</t>
        </is>
      </c>
      <c r="H266" s="10" t="inlineStr">
        <is>
          <t>RO</t>
        </is>
      </c>
      <c r="I266" s="11" t="inlineStr">
        <is>
          <t>Reserved; keep at reset value.</t>
        </is>
      </c>
    </row>
    <row r="267">
      <c r="A267" s="7" t="n"/>
      <c r="B267" s="8" t="n"/>
      <c r="C267" s="8" t="n"/>
      <c r="D267" s="8" t="n"/>
      <c r="E267" s="8" t="n">
        <v>22</v>
      </c>
      <c r="F267" s="8" t="n">
        <v>0</v>
      </c>
      <c r="G267" s="9" t="n"/>
      <c r="H267" s="10" t="n"/>
      <c r="I267" s="11" t="n"/>
    </row>
    <row r="268">
      <c r="A268" s="7" t="n"/>
      <c r="B268" s="8" t="n"/>
      <c r="C268" s="8" t="n"/>
      <c r="D268" s="8" t="n"/>
      <c r="E268" s="8" t="n">
        <v>21</v>
      </c>
      <c r="F268" s="8" t="n">
        <v>0</v>
      </c>
      <c r="G268" s="9" t="n"/>
      <c r="H268" s="10" t="n"/>
      <c r="I268" s="11" t="n"/>
    </row>
    <row r="269">
      <c r="A269" s="7" t="n"/>
      <c r="B269" s="8" t="n"/>
      <c r="C269" s="8" t="n"/>
      <c r="D269" s="8" t="n"/>
      <c r="E269" s="8" t="n">
        <v>20</v>
      </c>
      <c r="F269" s="8" t="n">
        <v>0</v>
      </c>
      <c r="G269" s="12" t="inlineStr">
        <is>
          <t>db10_delay_value</t>
        </is>
      </c>
      <c r="H269" s="13" t="inlineStr">
        <is>
          <t>RW</t>
        </is>
      </c>
      <c r="I269" s="14" t="inlineStr"/>
    </row>
    <row r="270">
      <c r="A270" s="7" t="n"/>
      <c r="B270" s="8" t="n"/>
      <c r="C270" s="8" t="n"/>
      <c r="D270" s="8" t="n"/>
      <c r="E270" s="8" t="n">
        <v>19</v>
      </c>
      <c r="F270" s="8" t="n">
        <v>0</v>
      </c>
      <c r="G270" s="12" t="n"/>
      <c r="H270" s="13" t="n"/>
      <c r="I270" s="14" t="n"/>
    </row>
    <row r="271">
      <c r="A271" s="7" t="n"/>
      <c r="B271" s="8" t="n"/>
      <c r="C271" s="8" t="n"/>
      <c r="D271" s="8" t="n"/>
      <c r="E271" s="8" t="n">
        <v>18</v>
      </c>
      <c r="F271" s="8" t="n">
        <v>0</v>
      </c>
      <c r="G271" s="12" t="n"/>
      <c r="H271" s="13" t="n"/>
      <c r="I271" s="14" t="n"/>
    </row>
    <row r="272">
      <c r="A272" s="7" t="n"/>
      <c r="B272" s="8" t="n"/>
      <c r="C272" s="8" t="n"/>
      <c r="D272" s="8" t="n"/>
      <c r="E272" s="8" t="n">
        <v>17</v>
      </c>
      <c r="F272" s="8" t="n">
        <v>0</v>
      </c>
      <c r="G272" s="12" t="n"/>
      <c r="H272" s="13" t="n"/>
      <c r="I272" s="14" t="n"/>
    </row>
    <row r="273">
      <c r="A273" s="7" t="n"/>
      <c r="B273" s="8" t="n"/>
      <c r="C273" s="8" t="n"/>
      <c r="D273" s="8" t="n"/>
      <c r="E273" s="8" t="n">
        <v>16</v>
      </c>
      <c r="F273" s="8" t="n">
        <v>0</v>
      </c>
      <c r="G273" s="12" t="n"/>
      <c r="H273" s="13" t="n"/>
      <c r="I273" s="14" t="n"/>
    </row>
    <row r="274">
      <c r="A274" s="7" t="n"/>
      <c r="B274" s="8" t="n"/>
      <c r="C274" s="8" t="n"/>
      <c r="D274" s="8" t="str">
        <f>DEC2HEX(128*F274+64*F275+32*F276+16*F277+8*F278+4*F279+2*F280+1*F281,2)&amp;"h"</f>
        <v>00h</v>
      </c>
      <c r="E274" s="8" t="n">
        <v>15</v>
      </c>
      <c r="F274" s="8" t="n">
        <v>0</v>
      </c>
      <c r="G274" s="9" t="inlineStr">
        <is>
          <t>RESERVED</t>
        </is>
      </c>
      <c r="H274" s="10" t="inlineStr">
        <is>
          <t>RO</t>
        </is>
      </c>
      <c r="I274" s="11" t="inlineStr">
        <is>
          <t>Reserved; keep at reset value.</t>
        </is>
      </c>
    </row>
    <row r="275">
      <c r="A275" s="7" t="n"/>
      <c r="B275" s="8" t="n"/>
      <c r="C275" s="8" t="n"/>
      <c r="D275" s="8" t="n"/>
      <c r="E275" s="8" t="n">
        <v>14</v>
      </c>
      <c r="F275" s="8" t="n">
        <v>0</v>
      </c>
      <c r="G275" s="9" t="n"/>
      <c r="H275" s="10" t="n"/>
      <c r="I275" s="11" t="n"/>
    </row>
    <row r="276">
      <c r="A276" s="7" t="n"/>
      <c r="B276" s="8" t="n"/>
      <c r="C276" s="8" t="n"/>
      <c r="D276" s="8" t="n"/>
      <c r="E276" s="8" t="n">
        <v>13</v>
      </c>
      <c r="F276" s="8" t="n">
        <v>0</v>
      </c>
      <c r="G276" s="9" t="n"/>
      <c r="H276" s="10" t="n"/>
      <c r="I276" s="11" t="n"/>
    </row>
    <row r="277">
      <c r="A277" s="7" t="n"/>
      <c r="B277" s="8" t="n"/>
      <c r="C277" s="8" t="n"/>
      <c r="D277" s="8" t="n"/>
      <c r="E277" s="8" t="n">
        <v>12</v>
      </c>
      <c r="F277" s="8" t="n">
        <v>0</v>
      </c>
      <c r="G277" s="12" t="inlineStr">
        <is>
          <t>db9_delay_value</t>
        </is>
      </c>
      <c r="H277" s="13" t="inlineStr">
        <is>
          <t>RW</t>
        </is>
      </c>
      <c r="I277" s="14" t="inlineStr"/>
    </row>
    <row r="278">
      <c r="A278" s="7" t="n"/>
      <c r="B278" s="8" t="n"/>
      <c r="C278" s="8" t="n"/>
      <c r="D278" s="8" t="n"/>
      <c r="E278" s="8" t="n">
        <v>11</v>
      </c>
      <c r="F278" s="8" t="n">
        <v>0</v>
      </c>
      <c r="G278" s="12" t="n"/>
      <c r="H278" s="13" t="n"/>
      <c r="I278" s="14" t="n"/>
    </row>
    <row r="279">
      <c r="A279" s="7" t="n"/>
      <c r="B279" s="8" t="n"/>
      <c r="C279" s="8" t="n"/>
      <c r="D279" s="8" t="n"/>
      <c r="E279" s="8" t="n">
        <v>10</v>
      </c>
      <c r="F279" s="8" t="n">
        <v>0</v>
      </c>
      <c r="G279" s="12" t="n"/>
      <c r="H279" s="13" t="n"/>
      <c r="I279" s="14" t="n"/>
    </row>
    <row r="280">
      <c r="A280" s="7" t="n"/>
      <c r="B280" s="8" t="n"/>
      <c r="C280" s="8" t="n"/>
      <c r="D280" s="8" t="n"/>
      <c r="E280" s="8" t="n">
        <v>9</v>
      </c>
      <c r="F280" s="8" t="n">
        <v>0</v>
      </c>
      <c r="G280" s="12" t="n"/>
      <c r="H280" s="13" t="n"/>
      <c r="I280" s="14" t="n"/>
    </row>
    <row r="281">
      <c r="A281" s="7" t="n"/>
      <c r="B281" s="8" t="n"/>
      <c r="C281" s="8" t="n"/>
      <c r="D281" s="8" t="n"/>
      <c r="E281" s="8" t="n">
        <v>8</v>
      </c>
      <c r="F281" s="8" t="n">
        <v>0</v>
      </c>
      <c r="G281" s="12" t="n"/>
      <c r="H281" s="13" t="n"/>
      <c r="I281" s="14" t="n"/>
    </row>
    <row r="282">
      <c r="A282" s="7" t="n"/>
      <c r="B282" s="8" t="n"/>
      <c r="C282" s="8" t="n"/>
      <c r="D282" s="8" t="str">
        <f>DEC2HEX(128*F282+64*F283+32*F284+16*F285+8*F286+4*F287+2*F288+1*F289,2)&amp;"h"</f>
        <v>00h</v>
      </c>
      <c r="E282" s="8" t="n">
        <v>7</v>
      </c>
      <c r="F282" s="8" t="n">
        <v>0</v>
      </c>
      <c r="G282" s="9" t="inlineStr">
        <is>
          <t>RESERVED</t>
        </is>
      </c>
      <c r="H282" s="10" t="inlineStr">
        <is>
          <t>RO</t>
        </is>
      </c>
      <c r="I282" s="11" t="inlineStr">
        <is>
          <t>Reserved; keep at reset value.</t>
        </is>
      </c>
    </row>
    <row r="283">
      <c r="A283" s="7" t="n"/>
      <c r="B283" s="8" t="n"/>
      <c r="C283" s="8" t="n"/>
      <c r="D283" s="8" t="n"/>
      <c r="E283" s="8" t="n">
        <v>6</v>
      </c>
      <c r="F283" s="8" t="n">
        <v>0</v>
      </c>
      <c r="G283" s="9" t="n"/>
      <c r="H283" s="10" t="n"/>
      <c r="I283" s="11" t="n"/>
    </row>
    <row r="284">
      <c r="A284" s="7" t="n"/>
      <c r="B284" s="8" t="n"/>
      <c r="C284" s="8" t="n"/>
      <c r="D284" s="8" t="n"/>
      <c r="E284" s="8" t="n">
        <v>5</v>
      </c>
      <c r="F284" s="8" t="n">
        <v>0</v>
      </c>
      <c r="G284" s="9" t="n"/>
      <c r="H284" s="10" t="n"/>
      <c r="I284" s="11" t="n"/>
    </row>
    <row r="285">
      <c r="A285" s="7" t="n"/>
      <c r="B285" s="8" t="n"/>
      <c r="C285" s="8" t="n"/>
      <c r="D285" s="8" t="n"/>
      <c r="E285" s="8" t="n">
        <v>4</v>
      </c>
      <c r="F285" s="8" t="n">
        <v>0</v>
      </c>
      <c r="G285" s="12" t="inlineStr">
        <is>
          <t>db8_delay_value</t>
        </is>
      </c>
      <c r="H285" s="13" t="inlineStr">
        <is>
          <t>RW</t>
        </is>
      </c>
      <c r="I285" s="14" t="inlineStr"/>
    </row>
    <row r="286">
      <c r="A286" s="7" t="n"/>
      <c r="B286" s="8" t="n"/>
      <c r="C286" s="8" t="n"/>
      <c r="D286" s="8" t="n"/>
      <c r="E286" s="8" t="n">
        <v>3</v>
      </c>
      <c r="F286" s="8" t="n">
        <v>0</v>
      </c>
      <c r="G286" s="12" t="n"/>
      <c r="H286" s="13" t="n"/>
      <c r="I286" s="14" t="n"/>
    </row>
    <row r="287">
      <c r="A287" s="7" t="n"/>
      <c r="B287" s="8" t="n"/>
      <c r="C287" s="8" t="n"/>
      <c r="D287" s="8" t="n"/>
      <c r="E287" s="8" t="n">
        <v>2</v>
      </c>
      <c r="F287" s="8" t="n">
        <v>0</v>
      </c>
      <c r="G287" s="12" t="n"/>
      <c r="H287" s="13" t="n"/>
      <c r="I287" s="14" t="n"/>
    </row>
    <row r="288">
      <c r="A288" s="7" t="n"/>
      <c r="B288" s="8" t="n"/>
      <c r="C288" s="8" t="n"/>
      <c r="D288" s="8" t="n"/>
      <c r="E288" s="8" t="n">
        <v>1</v>
      </c>
      <c r="F288" s="8" t="n">
        <v>0</v>
      </c>
      <c r="G288" s="12" t="n"/>
      <c r="H288" s="13" t="n"/>
      <c r="I288" s="14" t="n"/>
    </row>
    <row r="289">
      <c r="A289" s="15" t="n"/>
      <c r="B289" s="16" t="n"/>
      <c r="C289" s="16" t="n"/>
      <c r="D289" s="16" t="n"/>
      <c r="E289" s="16" t="n">
        <v>0</v>
      </c>
      <c r="F289" s="16" t="n">
        <v>0</v>
      </c>
      <c r="G289" s="17" t="n"/>
      <c r="H289" s="18" t="n"/>
      <c r="I289" s="19" t="n"/>
    </row>
    <row r="290">
      <c r="A290" s="20" t="inlineStr">
        <is>
          <t>PB_DELAY_EFFECT_0</t>
        </is>
      </c>
      <c r="B290" s="21" t="str">
        <f>DEC2HEX(36,4)&amp;"h"</f>
        <v>0024h</v>
      </c>
      <c r="C290" s="21" t="str">
        <f>LEFT(D290,2)&amp;LEFT(D298,2)&amp;LEFT(D306,2)&amp;LEFT(D314,2)&amp;"h"</f>
        <v>00000000h</v>
      </c>
      <c r="D290" s="21" t="str">
        <f>DEC2HEX(128*F290+64*F291+32*F292+16*F293+8*F294+4*F295+2*F296+1*F297,2)&amp;"h"</f>
        <v>00h</v>
      </c>
      <c r="E290" s="21" t="n">
        <v>31</v>
      </c>
      <c r="F290" s="21" t="n">
        <v>0</v>
      </c>
      <c r="G290" s="4" t="inlineStr">
        <is>
          <t>RESERVED</t>
        </is>
      </c>
      <c r="H290" s="5" t="inlineStr">
        <is>
          <t>RO</t>
        </is>
      </c>
      <c r="I290" s="6" t="inlineStr">
        <is>
          <t>Reserved; keep at reset value.</t>
        </is>
      </c>
    </row>
    <row r="291">
      <c r="A291" s="22" t="n"/>
      <c r="B291" s="23" t="n"/>
      <c r="C291" s="23" t="n"/>
      <c r="D291" s="23" t="n"/>
      <c r="E291" s="23" t="n">
        <v>30</v>
      </c>
      <c r="F291" s="23" t="n">
        <v>0</v>
      </c>
      <c r="G291" s="9" t="n"/>
      <c r="H291" s="10" t="n"/>
      <c r="I291" s="11" t="n"/>
    </row>
    <row r="292">
      <c r="A292" s="22" t="n"/>
      <c r="B292" s="23" t="n"/>
      <c r="C292" s="23" t="n"/>
      <c r="D292" s="23" t="n"/>
      <c r="E292" s="23" t="n">
        <v>29</v>
      </c>
      <c r="F292" s="23" t="n">
        <v>0</v>
      </c>
      <c r="G292" s="9" t="n"/>
      <c r="H292" s="10" t="n"/>
      <c r="I292" s="11" t="n"/>
    </row>
    <row r="293">
      <c r="A293" s="22" t="n"/>
      <c r="B293" s="23" t="n"/>
      <c r="C293" s="23" t="n"/>
      <c r="D293" s="23" t="n"/>
      <c r="E293" s="23" t="n">
        <v>28</v>
      </c>
      <c r="F293" s="23" t="n">
        <v>0</v>
      </c>
      <c r="G293" s="26" t="inlineStr">
        <is>
          <t>db3_delay_effect</t>
        </is>
      </c>
      <c r="H293" s="27" t="inlineStr">
        <is>
          <t>RO</t>
        </is>
      </c>
      <c r="I293" s="28" t="inlineStr"/>
    </row>
    <row r="294">
      <c r="A294" s="22" t="n"/>
      <c r="B294" s="23" t="n"/>
      <c r="C294" s="23" t="n"/>
      <c r="D294" s="23" t="n"/>
      <c r="E294" s="23" t="n">
        <v>27</v>
      </c>
      <c r="F294" s="23" t="n">
        <v>0</v>
      </c>
      <c r="G294" s="26" t="n"/>
      <c r="H294" s="27" t="n"/>
      <c r="I294" s="28" t="n"/>
    </row>
    <row r="295">
      <c r="A295" s="22" t="n"/>
      <c r="B295" s="23" t="n"/>
      <c r="C295" s="23" t="n"/>
      <c r="D295" s="23" t="n"/>
      <c r="E295" s="23" t="n">
        <v>26</v>
      </c>
      <c r="F295" s="23" t="n">
        <v>0</v>
      </c>
      <c r="G295" s="26" t="n"/>
      <c r="H295" s="27" t="n"/>
      <c r="I295" s="28" t="n"/>
    </row>
    <row r="296">
      <c r="A296" s="22" t="n"/>
      <c r="B296" s="23" t="n"/>
      <c r="C296" s="23" t="n"/>
      <c r="D296" s="23" t="n"/>
      <c r="E296" s="23" t="n">
        <v>25</v>
      </c>
      <c r="F296" s="23" t="n">
        <v>0</v>
      </c>
      <c r="G296" s="26" t="n"/>
      <c r="H296" s="27" t="n"/>
      <c r="I296" s="28" t="n"/>
    </row>
    <row r="297">
      <c r="A297" s="22" t="n"/>
      <c r="B297" s="23" t="n"/>
      <c r="C297" s="23" t="n"/>
      <c r="D297" s="23" t="n"/>
      <c r="E297" s="23" t="n">
        <v>24</v>
      </c>
      <c r="F297" s="23" t="n">
        <v>0</v>
      </c>
      <c r="G297" s="26" t="n"/>
      <c r="H297" s="27" t="n"/>
      <c r="I297" s="28" t="n"/>
    </row>
    <row r="298">
      <c r="A298" s="22" t="n"/>
      <c r="B298" s="23" t="n"/>
      <c r="C298" s="23" t="n"/>
      <c r="D298" s="23" t="str">
        <f>DEC2HEX(128*F298+64*F299+32*F300+16*F301+8*F302+4*F303+2*F304+1*F305,2)&amp;"h"</f>
        <v>00h</v>
      </c>
      <c r="E298" s="23" t="n">
        <v>23</v>
      </c>
      <c r="F298" s="23" t="n">
        <v>0</v>
      </c>
      <c r="G298" s="9" t="inlineStr">
        <is>
          <t>RESERVED</t>
        </is>
      </c>
      <c r="H298" s="10" t="inlineStr">
        <is>
          <t>RO</t>
        </is>
      </c>
      <c r="I298" s="11" t="inlineStr">
        <is>
          <t>Reserved; keep at reset value.</t>
        </is>
      </c>
    </row>
    <row r="299">
      <c r="A299" s="22" t="n"/>
      <c r="B299" s="23" t="n"/>
      <c r="C299" s="23" t="n"/>
      <c r="D299" s="23" t="n"/>
      <c r="E299" s="23" t="n">
        <v>22</v>
      </c>
      <c r="F299" s="23" t="n">
        <v>0</v>
      </c>
      <c r="G299" s="9" t="n"/>
      <c r="H299" s="10" t="n"/>
      <c r="I299" s="11" t="n"/>
    </row>
    <row r="300">
      <c r="A300" s="22" t="n"/>
      <c r="B300" s="23" t="n"/>
      <c r="C300" s="23" t="n"/>
      <c r="D300" s="23" t="n"/>
      <c r="E300" s="23" t="n">
        <v>21</v>
      </c>
      <c r="F300" s="23" t="n">
        <v>0</v>
      </c>
      <c r="G300" s="9" t="n"/>
      <c r="H300" s="10" t="n"/>
      <c r="I300" s="11" t="n"/>
    </row>
    <row r="301">
      <c r="A301" s="22" t="n"/>
      <c r="B301" s="23" t="n"/>
      <c r="C301" s="23" t="n"/>
      <c r="D301" s="23" t="n"/>
      <c r="E301" s="23" t="n">
        <v>20</v>
      </c>
      <c r="F301" s="23" t="n">
        <v>0</v>
      </c>
      <c r="G301" s="26" t="inlineStr">
        <is>
          <t>db2_delay_effect</t>
        </is>
      </c>
      <c r="H301" s="27" t="inlineStr">
        <is>
          <t>RO</t>
        </is>
      </c>
      <c r="I301" s="28" t="inlineStr"/>
    </row>
    <row r="302">
      <c r="A302" s="22" t="n"/>
      <c r="B302" s="23" t="n"/>
      <c r="C302" s="23" t="n"/>
      <c r="D302" s="23" t="n"/>
      <c r="E302" s="23" t="n">
        <v>19</v>
      </c>
      <c r="F302" s="23" t="n">
        <v>0</v>
      </c>
      <c r="G302" s="26" t="n"/>
      <c r="H302" s="27" t="n"/>
      <c r="I302" s="28" t="n"/>
    </row>
    <row r="303">
      <c r="A303" s="22" t="n"/>
      <c r="B303" s="23" t="n"/>
      <c r="C303" s="23" t="n"/>
      <c r="D303" s="23" t="n"/>
      <c r="E303" s="23" t="n">
        <v>18</v>
      </c>
      <c r="F303" s="23" t="n">
        <v>0</v>
      </c>
      <c r="G303" s="26" t="n"/>
      <c r="H303" s="27" t="n"/>
      <c r="I303" s="28" t="n"/>
    </row>
    <row r="304">
      <c r="A304" s="22" t="n"/>
      <c r="B304" s="23" t="n"/>
      <c r="C304" s="23" t="n"/>
      <c r="D304" s="23" t="n"/>
      <c r="E304" s="23" t="n">
        <v>17</v>
      </c>
      <c r="F304" s="23" t="n">
        <v>0</v>
      </c>
      <c r="G304" s="26" t="n"/>
      <c r="H304" s="27" t="n"/>
      <c r="I304" s="28" t="n"/>
    </row>
    <row r="305">
      <c r="A305" s="22" t="n"/>
      <c r="B305" s="23" t="n"/>
      <c r="C305" s="23" t="n"/>
      <c r="D305" s="23" t="n"/>
      <c r="E305" s="23" t="n">
        <v>16</v>
      </c>
      <c r="F305" s="23" t="n">
        <v>0</v>
      </c>
      <c r="G305" s="26" t="n"/>
      <c r="H305" s="27" t="n"/>
      <c r="I305" s="28" t="n"/>
    </row>
    <row r="306">
      <c r="A306" s="22" t="n"/>
      <c r="B306" s="23" t="n"/>
      <c r="C306" s="23" t="n"/>
      <c r="D306" s="23" t="str">
        <f>DEC2HEX(128*F306+64*F307+32*F308+16*F309+8*F310+4*F311+2*F312+1*F313,2)&amp;"h"</f>
        <v>00h</v>
      </c>
      <c r="E306" s="23" t="n">
        <v>15</v>
      </c>
      <c r="F306" s="23" t="n">
        <v>0</v>
      </c>
      <c r="G306" s="9" t="inlineStr">
        <is>
          <t>RESERVED</t>
        </is>
      </c>
      <c r="H306" s="10" t="inlineStr">
        <is>
          <t>RO</t>
        </is>
      </c>
      <c r="I306" s="11" t="inlineStr">
        <is>
          <t>Reserved; keep at reset value.</t>
        </is>
      </c>
    </row>
    <row r="307">
      <c r="A307" s="22" t="n"/>
      <c r="B307" s="23" t="n"/>
      <c r="C307" s="23" t="n"/>
      <c r="D307" s="23" t="n"/>
      <c r="E307" s="23" t="n">
        <v>14</v>
      </c>
      <c r="F307" s="23" t="n">
        <v>0</v>
      </c>
      <c r="G307" s="9" t="n"/>
      <c r="H307" s="10" t="n"/>
      <c r="I307" s="11" t="n"/>
    </row>
    <row r="308">
      <c r="A308" s="22" t="n"/>
      <c r="B308" s="23" t="n"/>
      <c r="C308" s="23" t="n"/>
      <c r="D308" s="23" t="n"/>
      <c r="E308" s="23" t="n">
        <v>13</v>
      </c>
      <c r="F308" s="23" t="n">
        <v>0</v>
      </c>
      <c r="G308" s="9" t="n"/>
      <c r="H308" s="10" t="n"/>
      <c r="I308" s="11" t="n"/>
    </row>
    <row r="309">
      <c r="A309" s="22" t="n"/>
      <c r="B309" s="23" t="n"/>
      <c r="C309" s="23" t="n"/>
      <c r="D309" s="23" t="n"/>
      <c r="E309" s="23" t="n">
        <v>12</v>
      </c>
      <c r="F309" s="23" t="n">
        <v>0</v>
      </c>
      <c r="G309" s="26" t="inlineStr">
        <is>
          <t>db1_delay_effect</t>
        </is>
      </c>
      <c r="H309" s="27" t="inlineStr">
        <is>
          <t>RO</t>
        </is>
      </c>
      <c r="I309" s="28" t="inlineStr"/>
    </row>
    <row r="310">
      <c r="A310" s="22" t="n"/>
      <c r="B310" s="23" t="n"/>
      <c r="C310" s="23" t="n"/>
      <c r="D310" s="23" t="n"/>
      <c r="E310" s="23" t="n">
        <v>11</v>
      </c>
      <c r="F310" s="23" t="n">
        <v>0</v>
      </c>
      <c r="G310" s="26" t="n"/>
      <c r="H310" s="27" t="n"/>
      <c r="I310" s="28" t="n"/>
    </row>
    <row r="311">
      <c r="A311" s="22" t="n"/>
      <c r="B311" s="23" t="n"/>
      <c r="C311" s="23" t="n"/>
      <c r="D311" s="23" t="n"/>
      <c r="E311" s="23" t="n">
        <v>10</v>
      </c>
      <c r="F311" s="23" t="n">
        <v>0</v>
      </c>
      <c r="G311" s="26" t="n"/>
      <c r="H311" s="27" t="n"/>
      <c r="I311" s="28" t="n"/>
    </row>
    <row r="312">
      <c r="A312" s="22" t="n"/>
      <c r="B312" s="23" t="n"/>
      <c r="C312" s="23" t="n"/>
      <c r="D312" s="23" t="n"/>
      <c r="E312" s="23" t="n">
        <v>9</v>
      </c>
      <c r="F312" s="23" t="n">
        <v>0</v>
      </c>
      <c r="G312" s="26" t="n"/>
      <c r="H312" s="27" t="n"/>
      <c r="I312" s="28" t="n"/>
    </row>
    <row r="313">
      <c r="A313" s="22" t="n"/>
      <c r="B313" s="23" t="n"/>
      <c r="C313" s="23" t="n"/>
      <c r="D313" s="23" t="n"/>
      <c r="E313" s="23" t="n">
        <v>8</v>
      </c>
      <c r="F313" s="23" t="n">
        <v>0</v>
      </c>
      <c r="G313" s="26" t="n"/>
      <c r="H313" s="27" t="n"/>
      <c r="I313" s="28" t="n"/>
    </row>
    <row r="314">
      <c r="A314" s="22" t="n"/>
      <c r="B314" s="23" t="n"/>
      <c r="C314" s="23" t="n"/>
      <c r="D314" s="23" t="str">
        <f>DEC2HEX(128*F314+64*F315+32*F316+16*F317+8*F318+4*F319+2*F320+1*F321,2)&amp;"h"</f>
        <v>00h</v>
      </c>
      <c r="E314" s="23" t="n">
        <v>7</v>
      </c>
      <c r="F314" s="23" t="n">
        <v>0</v>
      </c>
      <c r="G314" s="9" t="inlineStr">
        <is>
          <t>RESERVED</t>
        </is>
      </c>
      <c r="H314" s="10" t="inlineStr">
        <is>
          <t>RO</t>
        </is>
      </c>
      <c r="I314" s="11" t="inlineStr">
        <is>
          <t>Reserved; keep at reset value.</t>
        </is>
      </c>
    </row>
    <row r="315">
      <c r="A315" s="22" t="n"/>
      <c r="B315" s="23" t="n"/>
      <c r="C315" s="23" t="n"/>
      <c r="D315" s="23" t="n"/>
      <c r="E315" s="23" t="n">
        <v>6</v>
      </c>
      <c r="F315" s="23" t="n">
        <v>0</v>
      </c>
      <c r="G315" s="9" t="n"/>
      <c r="H315" s="10" t="n"/>
      <c r="I315" s="11" t="n"/>
    </row>
    <row r="316">
      <c r="A316" s="22" t="n"/>
      <c r="B316" s="23" t="n"/>
      <c r="C316" s="23" t="n"/>
      <c r="D316" s="23" t="n"/>
      <c r="E316" s="23" t="n">
        <v>5</v>
      </c>
      <c r="F316" s="23" t="n">
        <v>0</v>
      </c>
      <c r="G316" s="9" t="n"/>
      <c r="H316" s="10" t="n"/>
      <c r="I316" s="11" t="n"/>
    </row>
    <row r="317">
      <c r="A317" s="22" t="n"/>
      <c r="B317" s="23" t="n"/>
      <c r="C317" s="23" t="n"/>
      <c r="D317" s="23" t="n"/>
      <c r="E317" s="23" t="n">
        <v>4</v>
      </c>
      <c r="F317" s="23" t="n">
        <v>0</v>
      </c>
      <c r="G317" s="26" t="inlineStr">
        <is>
          <t>db0_delay_effect</t>
        </is>
      </c>
      <c r="H317" s="27" t="inlineStr">
        <is>
          <t>RO</t>
        </is>
      </c>
      <c r="I317" s="28" t="inlineStr"/>
    </row>
    <row r="318">
      <c r="A318" s="22" t="n"/>
      <c r="B318" s="23" t="n"/>
      <c r="C318" s="23" t="n"/>
      <c r="D318" s="23" t="n"/>
      <c r="E318" s="23" t="n">
        <v>3</v>
      </c>
      <c r="F318" s="23" t="n">
        <v>0</v>
      </c>
      <c r="G318" s="26" t="n"/>
      <c r="H318" s="27" t="n"/>
      <c r="I318" s="28" t="n"/>
    </row>
    <row r="319">
      <c r="A319" s="22" t="n"/>
      <c r="B319" s="23" t="n"/>
      <c r="C319" s="23" t="n"/>
      <c r="D319" s="23" t="n"/>
      <c r="E319" s="23" t="n">
        <v>2</v>
      </c>
      <c r="F319" s="23" t="n">
        <v>0</v>
      </c>
      <c r="G319" s="26" t="n"/>
      <c r="H319" s="27" t="n"/>
      <c r="I319" s="28" t="n"/>
    </row>
    <row r="320">
      <c r="A320" s="22" t="n"/>
      <c r="B320" s="23" t="n"/>
      <c r="C320" s="23" t="n"/>
      <c r="D320" s="23" t="n"/>
      <c r="E320" s="23" t="n">
        <v>1</v>
      </c>
      <c r="F320" s="23" t="n">
        <v>0</v>
      </c>
      <c r="G320" s="26" t="n"/>
      <c r="H320" s="27" t="n"/>
      <c r="I320" s="28" t="n"/>
    </row>
    <row r="321">
      <c r="A321" s="24" t="n"/>
      <c r="B321" s="25" t="n"/>
      <c r="C321" s="25" t="n"/>
      <c r="D321" s="25" t="n"/>
      <c r="E321" s="25" t="n">
        <v>0</v>
      </c>
      <c r="F321" s="25" t="n">
        <v>0</v>
      </c>
      <c r="G321" s="29" t="n"/>
      <c r="H321" s="30" t="n"/>
      <c r="I321" s="31" t="n"/>
    </row>
    <row r="322">
      <c r="A322" s="2" t="inlineStr">
        <is>
          <t>PB_DELAY_EFFECT_1</t>
        </is>
      </c>
      <c r="B322" s="3" t="str">
        <f>DEC2HEX(40,4)&amp;"h"</f>
        <v>0028h</v>
      </c>
      <c r="C322" s="3" t="str">
        <f>LEFT(D322,2)&amp;LEFT(D330,2)&amp;LEFT(D338,2)&amp;LEFT(D346,2)&amp;"h"</f>
        <v>00000000h</v>
      </c>
      <c r="D322" s="3" t="str">
        <f>DEC2HEX(128*F322+64*F323+32*F324+16*F325+8*F326+4*F327+2*F328+1*F329,2)&amp;"h"</f>
        <v>00h</v>
      </c>
      <c r="E322" s="3" t="n">
        <v>31</v>
      </c>
      <c r="F322" s="3" t="n">
        <v>0</v>
      </c>
      <c r="G322" s="4" t="inlineStr">
        <is>
          <t>RESERVED</t>
        </is>
      </c>
      <c r="H322" s="5" t="inlineStr">
        <is>
          <t>RO</t>
        </is>
      </c>
      <c r="I322" s="6" t="inlineStr">
        <is>
          <t>Reserved; keep at reset value.</t>
        </is>
      </c>
    </row>
    <row r="323">
      <c r="A323" s="7" t="n"/>
      <c r="B323" s="8" t="n"/>
      <c r="C323" s="8" t="n"/>
      <c r="D323" s="8" t="n"/>
      <c r="E323" s="8" t="n">
        <v>30</v>
      </c>
      <c r="F323" s="8" t="n">
        <v>0</v>
      </c>
      <c r="G323" s="9" t="n"/>
      <c r="H323" s="10" t="n"/>
      <c r="I323" s="11" t="n"/>
    </row>
    <row r="324">
      <c r="A324" s="7" t="n"/>
      <c r="B324" s="8" t="n"/>
      <c r="C324" s="8" t="n"/>
      <c r="D324" s="8" t="n"/>
      <c r="E324" s="8" t="n">
        <v>29</v>
      </c>
      <c r="F324" s="8" t="n">
        <v>0</v>
      </c>
      <c r="G324" s="9" t="n"/>
      <c r="H324" s="10" t="n"/>
      <c r="I324" s="11" t="n"/>
    </row>
    <row r="325">
      <c r="A325" s="7" t="n"/>
      <c r="B325" s="8" t="n"/>
      <c r="C325" s="8" t="n"/>
      <c r="D325" s="8" t="n"/>
      <c r="E325" s="8" t="n">
        <v>28</v>
      </c>
      <c r="F325" s="8" t="n">
        <v>0</v>
      </c>
      <c r="G325" s="26" t="inlineStr">
        <is>
          <t>db7_delay_effect</t>
        </is>
      </c>
      <c r="H325" s="27" t="inlineStr">
        <is>
          <t>RO</t>
        </is>
      </c>
      <c r="I325" s="28" t="inlineStr"/>
    </row>
    <row r="326">
      <c r="A326" s="7" t="n"/>
      <c r="B326" s="8" t="n"/>
      <c r="C326" s="8" t="n"/>
      <c r="D326" s="8" t="n"/>
      <c r="E326" s="8" t="n">
        <v>27</v>
      </c>
      <c r="F326" s="8" t="n">
        <v>0</v>
      </c>
      <c r="G326" s="26" t="n"/>
      <c r="H326" s="27" t="n"/>
      <c r="I326" s="28" t="n"/>
    </row>
    <row r="327">
      <c r="A327" s="7" t="n"/>
      <c r="B327" s="8" t="n"/>
      <c r="C327" s="8" t="n"/>
      <c r="D327" s="8" t="n"/>
      <c r="E327" s="8" t="n">
        <v>26</v>
      </c>
      <c r="F327" s="8" t="n">
        <v>0</v>
      </c>
      <c r="G327" s="26" t="n"/>
      <c r="H327" s="27" t="n"/>
      <c r="I327" s="28" t="n"/>
    </row>
    <row r="328">
      <c r="A328" s="7" t="n"/>
      <c r="B328" s="8" t="n"/>
      <c r="C328" s="8" t="n"/>
      <c r="D328" s="8" t="n"/>
      <c r="E328" s="8" t="n">
        <v>25</v>
      </c>
      <c r="F328" s="8" t="n">
        <v>0</v>
      </c>
      <c r="G328" s="26" t="n"/>
      <c r="H328" s="27" t="n"/>
      <c r="I328" s="28" t="n"/>
    </row>
    <row r="329">
      <c r="A329" s="7" t="n"/>
      <c r="B329" s="8" t="n"/>
      <c r="C329" s="8" t="n"/>
      <c r="D329" s="8" t="n"/>
      <c r="E329" s="8" t="n">
        <v>24</v>
      </c>
      <c r="F329" s="8" t="n">
        <v>0</v>
      </c>
      <c r="G329" s="26" t="n"/>
      <c r="H329" s="27" t="n"/>
      <c r="I329" s="28" t="n"/>
    </row>
    <row r="330">
      <c r="A330" s="7" t="n"/>
      <c r="B330" s="8" t="n"/>
      <c r="C330" s="8" t="n"/>
      <c r="D330" s="8" t="str">
        <f>DEC2HEX(128*F330+64*F331+32*F332+16*F333+8*F334+4*F335+2*F336+1*F337,2)&amp;"h"</f>
        <v>00h</v>
      </c>
      <c r="E330" s="8" t="n">
        <v>23</v>
      </c>
      <c r="F330" s="8" t="n">
        <v>0</v>
      </c>
      <c r="G330" s="9" t="inlineStr">
        <is>
          <t>RESERVED</t>
        </is>
      </c>
      <c r="H330" s="10" t="inlineStr">
        <is>
          <t>RO</t>
        </is>
      </c>
      <c r="I330" s="11" t="inlineStr">
        <is>
          <t>Reserved; keep at reset value.</t>
        </is>
      </c>
    </row>
    <row r="331">
      <c r="A331" s="7" t="n"/>
      <c r="B331" s="8" t="n"/>
      <c r="C331" s="8" t="n"/>
      <c r="D331" s="8" t="n"/>
      <c r="E331" s="8" t="n">
        <v>22</v>
      </c>
      <c r="F331" s="8" t="n">
        <v>0</v>
      </c>
      <c r="G331" s="9" t="n"/>
      <c r="H331" s="10" t="n"/>
      <c r="I331" s="11" t="n"/>
    </row>
    <row r="332">
      <c r="A332" s="7" t="n"/>
      <c r="B332" s="8" t="n"/>
      <c r="C332" s="8" t="n"/>
      <c r="D332" s="8" t="n"/>
      <c r="E332" s="8" t="n">
        <v>21</v>
      </c>
      <c r="F332" s="8" t="n">
        <v>0</v>
      </c>
      <c r="G332" s="9" t="n"/>
      <c r="H332" s="10" t="n"/>
      <c r="I332" s="11" t="n"/>
    </row>
    <row r="333">
      <c r="A333" s="7" t="n"/>
      <c r="B333" s="8" t="n"/>
      <c r="C333" s="8" t="n"/>
      <c r="D333" s="8" t="n"/>
      <c r="E333" s="8" t="n">
        <v>20</v>
      </c>
      <c r="F333" s="8" t="n">
        <v>0</v>
      </c>
      <c r="G333" s="26" t="inlineStr">
        <is>
          <t>db6_delay_effect</t>
        </is>
      </c>
      <c r="H333" s="27" t="inlineStr">
        <is>
          <t>RO</t>
        </is>
      </c>
      <c r="I333" s="28" t="inlineStr"/>
    </row>
    <row r="334">
      <c r="A334" s="7" t="n"/>
      <c r="B334" s="8" t="n"/>
      <c r="C334" s="8" t="n"/>
      <c r="D334" s="8" t="n"/>
      <c r="E334" s="8" t="n">
        <v>19</v>
      </c>
      <c r="F334" s="8" t="n">
        <v>0</v>
      </c>
      <c r="G334" s="26" t="n"/>
      <c r="H334" s="27" t="n"/>
      <c r="I334" s="28" t="n"/>
    </row>
    <row r="335">
      <c r="A335" s="7" t="n"/>
      <c r="B335" s="8" t="n"/>
      <c r="C335" s="8" t="n"/>
      <c r="D335" s="8" t="n"/>
      <c r="E335" s="8" t="n">
        <v>18</v>
      </c>
      <c r="F335" s="8" t="n">
        <v>0</v>
      </c>
      <c r="G335" s="26" t="n"/>
      <c r="H335" s="27" t="n"/>
      <c r="I335" s="28" t="n"/>
    </row>
    <row r="336">
      <c r="A336" s="7" t="n"/>
      <c r="B336" s="8" t="n"/>
      <c r="C336" s="8" t="n"/>
      <c r="D336" s="8" t="n"/>
      <c r="E336" s="8" t="n">
        <v>17</v>
      </c>
      <c r="F336" s="8" t="n">
        <v>0</v>
      </c>
      <c r="G336" s="26" t="n"/>
      <c r="H336" s="27" t="n"/>
      <c r="I336" s="28" t="n"/>
    </row>
    <row r="337">
      <c r="A337" s="7" t="n"/>
      <c r="B337" s="8" t="n"/>
      <c r="C337" s="8" t="n"/>
      <c r="D337" s="8" t="n"/>
      <c r="E337" s="8" t="n">
        <v>16</v>
      </c>
      <c r="F337" s="8" t="n">
        <v>0</v>
      </c>
      <c r="G337" s="26" t="n"/>
      <c r="H337" s="27" t="n"/>
      <c r="I337" s="28" t="n"/>
    </row>
    <row r="338">
      <c r="A338" s="7" t="n"/>
      <c r="B338" s="8" t="n"/>
      <c r="C338" s="8" t="n"/>
      <c r="D338" s="8" t="str">
        <f>DEC2HEX(128*F338+64*F339+32*F340+16*F341+8*F342+4*F343+2*F344+1*F345,2)&amp;"h"</f>
        <v>00h</v>
      </c>
      <c r="E338" s="8" t="n">
        <v>15</v>
      </c>
      <c r="F338" s="8" t="n">
        <v>0</v>
      </c>
      <c r="G338" s="9" t="inlineStr">
        <is>
          <t>RESERVED</t>
        </is>
      </c>
      <c r="H338" s="10" t="inlineStr">
        <is>
          <t>RO</t>
        </is>
      </c>
      <c r="I338" s="11" t="inlineStr">
        <is>
          <t>Reserved; keep at reset value.</t>
        </is>
      </c>
    </row>
    <row r="339">
      <c r="A339" s="7" t="n"/>
      <c r="B339" s="8" t="n"/>
      <c r="C339" s="8" t="n"/>
      <c r="D339" s="8" t="n"/>
      <c r="E339" s="8" t="n">
        <v>14</v>
      </c>
      <c r="F339" s="8" t="n">
        <v>0</v>
      </c>
      <c r="G339" s="9" t="n"/>
      <c r="H339" s="10" t="n"/>
      <c r="I339" s="11" t="n"/>
    </row>
    <row r="340">
      <c r="A340" s="7" t="n"/>
      <c r="B340" s="8" t="n"/>
      <c r="C340" s="8" t="n"/>
      <c r="D340" s="8" t="n"/>
      <c r="E340" s="8" t="n">
        <v>13</v>
      </c>
      <c r="F340" s="8" t="n">
        <v>0</v>
      </c>
      <c r="G340" s="9" t="n"/>
      <c r="H340" s="10" t="n"/>
      <c r="I340" s="11" t="n"/>
    </row>
    <row r="341">
      <c r="A341" s="7" t="n"/>
      <c r="B341" s="8" t="n"/>
      <c r="C341" s="8" t="n"/>
      <c r="D341" s="8" t="n"/>
      <c r="E341" s="8" t="n">
        <v>12</v>
      </c>
      <c r="F341" s="8" t="n">
        <v>0</v>
      </c>
      <c r="G341" s="26" t="inlineStr">
        <is>
          <t>db5_delay_effect</t>
        </is>
      </c>
      <c r="H341" s="27" t="inlineStr">
        <is>
          <t>RO</t>
        </is>
      </c>
      <c r="I341" s="28" t="inlineStr"/>
    </row>
    <row r="342">
      <c r="A342" s="7" t="n"/>
      <c r="B342" s="8" t="n"/>
      <c r="C342" s="8" t="n"/>
      <c r="D342" s="8" t="n"/>
      <c r="E342" s="8" t="n">
        <v>11</v>
      </c>
      <c r="F342" s="8" t="n">
        <v>0</v>
      </c>
      <c r="G342" s="26" t="n"/>
      <c r="H342" s="27" t="n"/>
      <c r="I342" s="28" t="n"/>
    </row>
    <row r="343">
      <c r="A343" s="7" t="n"/>
      <c r="B343" s="8" t="n"/>
      <c r="C343" s="8" t="n"/>
      <c r="D343" s="8" t="n"/>
      <c r="E343" s="8" t="n">
        <v>10</v>
      </c>
      <c r="F343" s="8" t="n">
        <v>0</v>
      </c>
      <c r="G343" s="26" t="n"/>
      <c r="H343" s="27" t="n"/>
      <c r="I343" s="28" t="n"/>
    </row>
    <row r="344">
      <c r="A344" s="7" t="n"/>
      <c r="B344" s="8" t="n"/>
      <c r="C344" s="8" t="n"/>
      <c r="D344" s="8" t="n"/>
      <c r="E344" s="8" t="n">
        <v>9</v>
      </c>
      <c r="F344" s="8" t="n">
        <v>0</v>
      </c>
      <c r="G344" s="26" t="n"/>
      <c r="H344" s="27" t="n"/>
      <c r="I344" s="28" t="n"/>
    </row>
    <row r="345">
      <c r="A345" s="7" t="n"/>
      <c r="B345" s="8" t="n"/>
      <c r="C345" s="8" t="n"/>
      <c r="D345" s="8" t="n"/>
      <c r="E345" s="8" t="n">
        <v>8</v>
      </c>
      <c r="F345" s="8" t="n">
        <v>0</v>
      </c>
      <c r="G345" s="26" t="n"/>
      <c r="H345" s="27" t="n"/>
      <c r="I345" s="28" t="n"/>
    </row>
    <row r="346">
      <c r="A346" s="7" t="n"/>
      <c r="B346" s="8" t="n"/>
      <c r="C346" s="8" t="n"/>
      <c r="D346" s="8" t="str">
        <f>DEC2HEX(128*F346+64*F347+32*F348+16*F349+8*F350+4*F351+2*F352+1*F353,2)&amp;"h"</f>
        <v>00h</v>
      </c>
      <c r="E346" s="8" t="n">
        <v>7</v>
      </c>
      <c r="F346" s="8" t="n">
        <v>0</v>
      </c>
      <c r="G346" s="9" t="inlineStr">
        <is>
          <t>RESERVED</t>
        </is>
      </c>
      <c r="H346" s="10" t="inlineStr">
        <is>
          <t>RO</t>
        </is>
      </c>
      <c r="I346" s="11" t="inlineStr">
        <is>
          <t>Reserved; keep at reset value.</t>
        </is>
      </c>
    </row>
    <row r="347">
      <c r="A347" s="7" t="n"/>
      <c r="B347" s="8" t="n"/>
      <c r="C347" s="8" t="n"/>
      <c r="D347" s="8" t="n"/>
      <c r="E347" s="8" t="n">
        <v>6</v>
      </c>
      <c r="F347" s="8" t="n">
        <v>0</v>
      </c>
      <c r="G347" s="9" t="n"/>
      <c r="H347" s="10" t="n"/>
      <c r="I347" s="11" t="n"/>
    </row>
    <row r="348">
      <c r="A348" s="7" t="n"/>
      <c r="B348" s="8" t="n"/>
      <c r="C348" s="8" t="n"/>
      <c r="D348" s="8" t="n"/>
      <c r="E348" s="8" t="n">
        <v>5</v>
      </c>
      <c r="F348" s="8" t="n">
        <v>0</v>
      </c>
      <c r="G348" s="9" t="n"/>
      <c r="H348" s="10" t="n"/>
      <c r="I348" s="11" t="n"/>
    </row>
    <row r="349">
      <c r="A349" s="7" t="n"/>
      <c r="B349" s="8" t="n"/>
      <c r="C349" s="8" t="n"/>
      <c r="D349" s="8" t="n"/>
      <c r="E349" s="8" t="n">
        <v>4</v>
      </c>
      <c r="F349" s="8" t="n">
        <v>0</v>
      </c>
      <c r="G349" s="26" t="inlineStr">
        <is>
          <t>db4_delay_effect</t>
        </is>
      </c>
      <c r="H349" s="27" t="inlineStr">
        <is>
          <t>RO</t>
        </is>
      </c>
      <c r="I349" s="28" t="inlineStr"/>
    </row>
    <row r="350">
      <c r="A350" s="7" t="n"/>
      <c r="B350" s="8" t="n"/>
      <c r="C350" s="8" t="n"/>
      <c r="D350" s="8" t="n"/>
      <c r="E350" s="8" t="n">
        <v>3</v>
      </c>
      <c r="F350" s="8" t="n">
        <v>0</v>
      </c>
      <c r="G350" s="26" t="n"/>
      <c r="H350" s="27" t="n"/>
      <c r="I350" s="28" t="n"/>
    </row>
    <row r="351">
      <c r="A351" s="7" t="n"/>
      <c r="B351" s="8" t="n"/>
      <c r="C351" s="8" t="n"/>
      <c r="D351" s="8" t="n"/>
      <c r="E351" s="8" t="n">
        <v>2</v>
      </c>
      <c r="F351" s="8" t="n">
        <v>0</v>
      </c>
      <c r="G351" s="26" t="n"/>
      <c r="H351" s="27" t="n"/>
      <c r="I351" s="28" t="n"/>
    </row>
    <row r="352">
      <c r="A352" s="7" t="n"/>
      <c r="B352" s="8" t="n"/>
      <c r="C352" s="8" t="n"/>
      <c r="D352" s="8" t="n"/>
      <c r="E352" s="8" t="n">
        <v>1</v>
      </c>
      <c r="F352" s="8" t="n">
        <v>0</v>
      </c>
      <c r="G352" s="26" t="n"/>
      <c r="H352" s="27" t="n"/>
      <c r="I352" s="28" t="n"/>
    </row>
    <row r="353">
      <c r="A353" s="15" t="n"/>
      <c r="B353" s="16" t="n"/>
      <c r="C353" s="16" t="n"/>
      <c r="D353" s="16" t="n"/>
      <c r="E353" s="16" t="n">
        <v>0</v>
      </c>
      <c r="F353" s="16" t="n">
        <v>0</v>
      </c>
      <c r="G353" s="29" t="n"/>
      <c r="H353" s="30" t="n"/>
      <c r="I353" s="31" t="n"/>
    </row>
    <row r="354">
      <c r="A354" s="20" t="inlineStr">
        <is>
          <t>PB_DELAY_EFFECT_2</t>
        </is>
      </c>
      <c r="B354" s="21" t="str">
        <f>DEC2HEX(44,4)&amp;"h"</f>
        <v>002Ch</v>
      </c>
      <c r="C354" s="21" t="str">
        <f>LEFT(D354,2)&amp;LEFT(D362,2)&amp;LEFT(D370,2)&amp;LEFT(D378,2)&amp;"h"</f>
        <v>00000000h</v>
      </c>
      <c r="D354" s="21" t="str">
        <f>DEC2HEX(128*F354+64*F355+32*F356+16*F357+8*F358+4*F359+2*F360+1*F361,2)&amp;"h"</f>
        <v>00h</v>
      </c>
      <c r="E354" s="21" t="n">
        <v>31</v>
      </c>
      <c r="F354" s="21" t="n">
        <v>0</v>
      </c>
      <c r="G354" s="4" t="inlineStr">
        <is>
          <t>RESERVED</t>
        </is>
      </c>
      <c r="H354" s="5" t="inlineStr">
        <is>
          <t>RO</t>
        </is>
      </c>
      <c r="I354" s="6" t="inlineStr">
        <is>
          <t>Reserved; keep at reset value.</t>
        </is>
      </c>
    </row>
    <row r="355">
      <c r="A355" s="22" t="n"/>
      <c r="B355" s="23" t="n"/>
      <c r="C355" s="23" t="n"/>
      <c r="D355" s="23" t="n"/>
      <c r="E355" s="23" t="n">
        <v>30</v>
      </c>
      <c r="F355" s="23" t="n">
        <v>0</v>
      </c>
      <c r="G355" s="9" t="n"/>
      <c r="H355" s="10" t="n"/>
      <c r="I355" s="11" t="n"/>
    </row>
    <row r="356">
      <c r="A356" s="22" t="n"/>
      <c r="B356" s="23" t="n"/>
      <c r="C356" s="23" t="n"/>
      <c r="D356" s="23" t="n"/>
      <c r="E356" s="23" t="n">
        <v>29</v>
      </c>
      <c r="F356" s="23" t="n">
        <v>0</v>
      </c>
      <c r="G356" s="9" t="n"/>
      <c r="H356" s="10" t="n"/>
      <c r="I356" s="11" t="n"/>
    </row>
    <row r="357">
      <c r="A357" s="22" t="n"/>
      <c r="B357" s="23" t="n"/>
      <c r="C357" s="23" t="n"/>
      <c r="D357" s="23" t="n"/>
      <c r="E357" s="23" t="n">
        <v>28</v>
      </c>
      <c r="F357" s="23" t="n">
        <v>0</v>
      </c>
      <c r="G357" s="26" t="inlineStr">
        <is>
          <t>db11_delay_effect</t>
        </is>
      </c>
      <c r="H357" s="27" t="inlineStr">
        <is>
          <t>RO</t>
        </is>
      </c>
      <c r="I357" s="28" t="inlineStr"/>
    </row>
    <row r="358">
      <c r="A358" s="22" t="n"/>
      <c r="B358" s="23" t="n"/>
      <c r="C358" s="23" t="n"/>
      <c r="D358" s="23" t="n"/>
      <c r="E358" s="23" t="n">
        <v>27</v>
      </c>
      <c r="F358" s="23" t="n">
        <v>0</v>
      </c>
      <c r="G358" s="26" t="n"/>
      <c r="H358" s="27" t="n"/>
      <c r="I358" s="28" t="n"/>
    </row>
    <row r="359">
      <c r="A359" s="22" t="n"/>
      <c r="B359" s="23" t="n"/>
      <c r="C359" s="23" t="n"/>
      <c r="D359" s="23" t="n"/>
      <c r="E359" s="23" t="n">
        <v>26</v>
      </c>
      <c r="F359" s="23" t="n">
        <v>0</v>
      </c>
      <c r="G359" s="26" t="n"/>
      <c r="H359" s="27" t="n"/>
      <c r="I359" s="28" t="n"/>
    </row>
    <row r="360">
      <c r="A360" s="22" t="n"/>
      <c r="B360" s="23" t="n"/>
      <c r="C360" s="23" t="n"/>
      <c r="D360" s="23" t="n"/>
      <c r="E360" s="23" t="n">
        <v>25</v>
      </c>
      <c r="F360" s="23" t="n">
        <v>0</v>
      </c>
      <c r="G360" s="26" t="n"/>
      <c r="H360" s="27" t="n"/>
      <c r="I360" s="28" t="n"/>
    </row>
    <row r="361">
      <c r="A361" s="22" t="n"/>
      <c r="B361" s="23" t="n"/>
      <c r="C361" s="23" t="n"/>
      <c r="D361" s="23" t="n"/>
      <c r="E361" s="23" t="n">
        <v>24</v>
      </c>
      <c r="F361" s="23" t="n">
        <v>0</v>
      </c>
      <c r="G361" s="26" t="n"/>
      <c r="H361" s="27" t="n"/>
      <c r="I361" s="28" t="n"/>
    </row>
    <row r="362">
      <c r="A362" s="22" t="n"/>
      <c r="B362" s="23" t="n"/>
      <c r="C362" s="23" t="n"/>
      <c r="D362" s="23" t="str">
        <f>DEC2HEX(128*F362+64*F363+32*F364+16*F365+8*F366+4*F367+2*F368+1*F369,2)&amp;"h"</f>
        <v>00h</v>
      </c>
      <c r="E362" s="23" t="n">
        <v>23</v>
      </c>
      <c r="F362" s="23" t="n">
        <v>0</v>
      </c>
      <c r="G362" s="9" t="inlineStr">
        <is>
          <t>RESERVED</t>
        </is>
      </c>
      <c r="H362" s="10" t="inlineStr">
        <is>
          <t>RO</t>
        </is>
      </c>
      <c r="I362" s="11" t="inlineStr">
        <is>
          <t>Reserved; keep at reset value.</t>
        </is>
      </c>
    </row>
    <row r="363">
      <c r="A363" s="22" t="n"/>
      <c r="B363" s="23" t="n"/>
      <c r="C363" s="23" t="n"/>
      <c r="D363" s="23" t="n"/>
      <c r="E363" s="23" t="n">
        <v>22</v>
      </c>
      <c r="F363" s="23" t="n">
        <v>0</v>
      </c>
      <c r="G363" s="9" t="n"/>
      <c r="H363" s="10" t="n"/>
      <c r="I363" s="11" t="n"/>
    </row>
    <row r="364">
      <c r="A364" s="22" t="n"/>
      <c r="B364" s="23" t="n"/>
      <c r="C364" s="23" t="n"/>
      <c r="D364" s="23" t="n"/>
      <c r="E364" s="23" t="n">
        <v>21</v>
      </c>
      <c r="F364" s="23" t="n">
        <v>0</v>
      </c>
      <c r="G364" s="9" t="n"/>
      <c r="H364" s="10" t="n"/>
      <c r="I364" s="11" t="n"/>
    </row>
    <row r="365">
      <c r="A365" s="22" t="n"/>
      <c r="B365" s="23" t="n"/>
      <c r="C365" s="23" t="n"/>
      <c r="D365" s="23" t="n"/>
      <c r="E365" s="23" t="n">
        <v>20</v>
      </c>
      <c r="F365" s="23" t="n">
        <v>0</v>
      </c>
      <c r="G365" s="26" t="inlineStr">
        <is>
          <t>db10_delay_effect</t>
        </is>
      </c>
      <c r="H365" s="27" t="inlineStr">
        <is>
          <t>RO</t>
        </is>
      </c>
      <c r="I365" s="28" t="inlineStr"/>
    </row>
    <row r="366">
      <c r="A366" s="22" t="n"/>
      <c r="B366" s="23" t="n"/>
      <c r="C366" s="23" t="n"/>
      <c r="D366" s="23" t="n"/>
      <c r="E366" s="23" t="n">
        <v>19</v>
      </c>
      <c r="F366" s="23" t="n">
        <v>0</v>
      </c>
      <c r="G366" s="26" t="n"/>
      <c r="H366" s="27" t="n"/>
      <c r="I366" s="28" t="n"/>
    </row>
    <row r="367">
      <c r="A367" s="22" t="n"/>
      <c r="B367" s="23" t="n"/>
      <c r="C367" s="23" t="n"/>
      <c r="D367" s="23" t="n"/>
      <c r="E367" s="23" t="n">
        <v>18</v>
      </c>
      <c r="F367" s="23" t="n">
        <v>0</v>
      </c>
      <c r="G367" s="26" t="n"/>
      <c r="H367" s="27" t="n"/>
      <c r="I367" s="28" t="n"/>
    </row>
    <row r="368">
      <c r="A368" s="22" t="n"/>
      <c r="B368" s="23" t="n"/>
      <c r="C368" s="23" t="n"/>
      <c r="D368" s="23" t="n"/>
      <c r="E368" s="23" t="n">
        <v>17</v>
      </c>
      <c r="F368" s="23" t="n">
        <v>0</v>
      </c>
      <c r="G368" s="26" t="n"/>
      <c r="H368" s="27" t="n"/>
      <c r="I368" s="28" t="n"/>
    </row>
    <row r="369">
      <c r="A369" s="22" t="n"/>
      <c r="B369" s="23" t="n"/>
      <c r="C369" s="23" t="n"/>
      <c r="D369" s="23" t="n"/>
      <c r="E369" s="23" t="n">
        <v>16</v>
      </c>
      <c r="F369" s="23" t="n">
        <v>0</v>
      </c>
      <c r="G369" s="26" t="n"/>
      <c r="H369" s="27" t="n"/>
      <c r="I369" s="28" t="n"/>
    </row>
    <row r="370">
      <c r="A370" s="22" t="n"/>
      <c r="B370" s="23" t="n"/>
      <c r="C370" s="23" t="n"/>
      <c r="D370" s="23" t="str">
        <f>DEC2HEX(128*F370+64*F371+32*F372+16*F373+8*F374+4*F375+2*F376+1*F377,2)&amp;"h"</f>
        <v>00h</v>
      </c>
      <c r="E370" s="23" t="n">
        <v>15</v>
      </c>
      <c r="F370" s="23" t="n">
        <v>0</v>
      </c>
      <c r="G370" s="9" t="inlineStr">
        <is>
          <t>RESERVED</t>
        </is>
      </c>
      <c r="H370" s="10" t="inlineStr">
        <is>
          <t>RO</t>
        </is>
      </c>
      <c r="I370" s="11" t="inlineStr">
        <is>
          <t>Reserved; keep at reset value.</t>
        </is>
      </c>
    </row>
    <row r="371">
      <c r="A371" s="22" t="n"/>
      <c r="B371" s="23" t="n"/>
      <c r="C371" s="23" t="n"/>
      <c r="D371" s="23" t="n"/>
      <c r="E371" s="23" t="n">
        <v>14</v>
      </c>
      <c r="F371" s="23" t="n">
        <v>0</v>
      </c>
      <c r="G371" s="9" t="n"/>
      <c r="H371" s="10" t="n"/>
      <c r="I371" s="11" t="n"/>
    </row>
    <row r="372">
      <c r="A372" s="22" t="n"/>
      <c r="B372" s="23" t="n"/>
      <c r="C372" s="23" t="n"/>
      <c r="D372" s="23" t="n"/>
      <c r="E372" s="23" t="n">
        <v>13</v>
      </c>
      <c r="F372" s="23" t="n">
        <v>0</v>
      </c>
      <c r="G372" s="9" t="n"/>
      <c r="H372" s="10" t="n"/>
      <c r="I372" s="11" t="n"/>
    </row>
    <row r="373">
      <c r="A373" s="22" t="n"/>
      <c r="B373" s="23" t="n"/>
      <c r="C373" s="23" t="n"/>
      <c r="D373" s="23" t="n"/>
      <c r="E373" s="23" t="n">
        <v>12</v>
      </c>
      <c r="F373" s="23" t="n">
        <v>0</v>
      </c>
      <c r="G373" s="26" t="inlineStr">
        <is>
          <t>db9_delay_effect</t>
        </is>
      </c>
      <c r="H373" s="27" t="inlineStr">
        <is>
          <t>RO</t>
        </is>
      </c>
      <c r="I373" s="28" t="inlineStr"/>
    </row>
    <row r="374">
      <c r="A374" s="22" t="n"/>
      <c r="B374" s="23" t="n"/>
      <c r="C374" s="23" t="n"/>
      <c r="D374" s="23" t="n"/>
      <c r="E374" s="23" t="n">
        <v>11</v>
      </c>
      <c r="F374" s="23" t="n">
        <v>0</v>
      </c>
      <c r="G374" s="26" t="n"/>
      <c r="H374" s="27" t="n"/>
      <c r="I374" s="28" t="n"/>
    </row>
    <row r="375">
      <c r="A375" s="22" t="n"/>
      <c r="B375" s="23" t="n"/>
      <c r="C375" s="23" t="n"/>
      <c r="D375" s="23" t="n"/>
      <c r="E375" s="23" t="n">
        <v>10</v>
      </c>
      <c r="F375" s="23" t="n">
        <v>0</v>
      </c>
      <c r="G375" s="26" t="n"/>
      <c r="H375" s="27" t="n"/>
      <c r="I375" s="28" t="n"/>
    </row>
    <row r="376">
      <c r="A376" s="22" t="n"/>
      <c r="B376" s="23" t="n"/>
      <c r="C376" s="23" t="n"/>
      <c r="D376" s="23" t="n"/>
      <c r="E376" s="23" t="n">
        <v>9</v>
      </c>
      <c r="F376" s="23" t="n">
        <v>0</v>
      </c>
      <c r="G376" s="26" t="n"/>
      <c r="H376" s="27" t="n"/>
      <c r="I376" s="28" t="n"/>
    </row>
    <row r="377">
      <c r="A377" s="22" t="n"/>
      <c r="B377" s="23" t="n"/>
      <c r="C377" s="23" t="n"/>
      <c r="D377" s="23" t="n"/>
      <c r="E377" s="23" t="n">
        <v>8</v>
      </c>
      <c r="F377" s="23" t="n">
        <v>0</v>
      </c>
      <c r="G377" s="26" t="n"/>
      <c r="H377" s="27" t="n"/>
      <c r="I377" s="28" t="n"/>
    </row>
    <row r="378">
      <c r="A378" s="22" t="n"/>
      <c r="B378" s="23" t="n"/>
      <c r="C378" s="23" t="n"/>
      <c r="D378" s="23" t="str">
        <f>DEC2HEX(128*F378+64*F379+32*F380+16*F381+8*F382+4*F383+2*F384+1*F385,2)&amp;"h"</f>
        <v>00h</v>
      </c>
      <c r="E378" s="23" t="n">
        <v>7</v>
      </c>
      <c r="F378" s="23" t="n">
        <v>0</v>
      </c>
      <c r="G378" s="9" t="inlineStr">
        <is>
          <t>RESERVED</t>
        </is>
      </c>
      <c r="H378" s="10" t="inlineStr">
        <is>
          <t>RO</t>
        </is>
      </c>
      <c r="I378" s="11" t="inlineStr">
        <is>
          <t>Reserved; keep at reset value.</t>
        </is>
      </c>
    </row>
    <row r="379">
      <c r="A379" s="22" t="n"/>
      <c r="B379" s="23" t="n"/>
      <c r="C379" s="23" t="n"/>
      <c r="D379" s="23" t="n"/>
      <c r="E379" s="23" t="n">
        <v>6</v>
      </c>
      <c r="F379" s="23" t="n">
        <v>0</v>
      </c>
      <c r="G379" s="9" t="n"/>
      <c r="H379" s="10" t="n"/>
      <c r="I379" s="11" t="n"/>
    </row>
    <row r="380">
      <c r="A380" s="22" t="n"/>
      <c r="B380" s="23" t="n"/>
      <c r="C380" s="23" t="n"/>
      <c r="D380" s="23" t="n"/>
      <c r="E380" s="23" t="n">
        <v>5</v>
      </c>
      <c r="F380" s="23" t="n">
        <v>0</v>
      </c>
      <c r="G380" s="9" t="n"/>
      <c r="H380" s="10" t="n"/>
      <c r="I380" s="11" t="n"/>
    </row>
    <row r="381">
      <c r="A381" s="22" t="n"/>
      <c r="B381" s="23" t="n"/>
      <c r="C381" s="23" t="n"/>
      <c r="D381" s="23" t="n"/>
      <c r="E381" s="23" t="n">
        <v>4</v>
      </c>
      <c r="F381" s="23" t="n">
        <v>0</v>
      </c>
      <c r="G381" s="26" t="inlineStr">
        <is>
          <t>db8_delay_effect</t>
        </is>
      </c>
      <c r="H381" s="27" t="inlineStr">
        <is>
          <t>RO</t>
        </is>
      </c>
      <c r="I381" s="28" t="inlineStr"/>
    </row>
    <row r="382">
      <c r="A382" s="22" t="n"/>
      <c r="B382" s="23" t="n"/>
      <c r="C382" s="23" t="n"/>
      <c r="D382" s="23" t="n"/>
      <c r="E382" s="23" t="n">
        <v>3</v>
      </c>
      <c r="F382" s="23" t="n">
        <v>0</v>
      </c>
      <c r="G382" s="26" t="n"/>
      <c r="H382" s="27" t="n"/>
      <c r="I382" s="28" t="n"/>
    </row>
    <row r="383">
      <c r="A383" s="22" t="n"/>
      <c r="B383" s="23" t="n"/>
      <c r="C383" s="23" t="n"/>
      <c r="D383" s="23" t="n"/>
      <c r="E383" s="23" t="n">
        <v>2</v>
      </c>
      <c r="F383" s="23" t="n">
        <v>0</v>
      </c>
      <c r="G383" s="26" t="n"/>
      <c r="H383" s="27" t="n"/>
      <c r="I383" s="28" t="n"/>
    </row>
    <row r="384">
      <c r="A384" s="22" t="n"/>
      <c r="B384" s="23" t="n"/>
      <c r="C384" s="23" t="n"/>
      <c r="D384" s="23" t="n"/>
      <c r="E384" s="23" t="n">
        <v>1</v>
      </c>
      <c r="F384" s="23" t="n">
        <v>0</v>
      </c>
      <c r="G384" s="26" t="n"/>
      <c r="H384" s="27" t="n"/>
      <c r="I384" s="28" t="n"/>
    </row>
    <row r="385">
      <c r="A385" s="24" t="n"/>
      <c r="B385" s="25" t="n"/>
      <c r="C385" s="25" t="n"/>
      <c r="D385" s="25" t="n"/>
      <c r="E385" s="25" t="n">
        <v>0</v>
      </c>
      <c r="F385" s="25" t="n">
        <v>0</v>
      </c>
      <c r="G385" s="29" t="n"/>
      <c r="H385" s="30" t="n"/>
      <c r="I385" s="31" t="n"/>
    </row>
    <row r="386">
      <c r="A386" s="2" t="inlineStr">
        <is>
          <t>FB_CLK_DELAY_CTRL</t>
        </is>
      </c>
      <c r="B386" s="3" t="str">
        <f>DEC2HEX(48,4)&amp;"h"</f>
        <v>0030h</v>
      </c>
      <c r="C386" s="3" t="str">
        <f>LEFT(D386,2)&amp;LEFT(D394,2)&amp;LEFT(D402,2)&amp;LEFT(D410,2)&amp;"h"</f>
        <v>00000000h</v>
      </c>
      <c r="D386" s="3" t="str">
        <f>DEC2HEX(128*F386+64*F387+32*F388+16*F389+8*F390+4*F391+2*F392+1*F393,2)&amp;"h"</f>
        <v>00h</v>
      </c>
      <c r="E386" s="3" t="n">
        <v>31</v>
      </c>
      <c r="F386" s="3" t="n">
        <v>0</v>
      </c>
      <c r="G386" s="4" t="inlineStr">
        <is>
          <t>RESERVED</t>
        </is>
      </c>
      <c r="H386" s="5" t="inlineStr">
        <is>
          <t>RO</t>
        </is>
      </c>
      <c r="I386" s="6" t="inlineStr">
        <is>
          <t>Reserved; keep at reset value.</t>
        </is>
      </c>
    </row>
    <row r="387">
      <c r="A387" s="7" t="n"/>
      <c r="B387" s="8" t="n"/>
      <c r="C387" s="8" t="n"/>
      <c r="D387" s="8" t="n"/>
      <c r="E387" s="8" t="n">
        <v>30</v>
      </c>
      <c r="F387" s="8" t="n">
        <v>0</v>
      </c>
      <c r="G387" s="9" t="n"/>
      <c r="H387" s="10" t="n"/>
      <c r="I387" s="11" t="n"/>
    </row>
    <row r="388">
      <c r="A388" s="7" t="n"/>
      <c r="B388" s="8" t="n"/>
      <c r="C388" s="8" t="n"/>
      <c r="D388" s="8" t="n"/>
      <c r="E388" s="8" t="n">
        <v>29</v>
      </c>
      <c r="F388" s="8" t="n">
        <v>0</v>
      </c>
      <c r="G388" s="9" t="n"/>
      <c r="H388" s="10" t="n"/>
      <c r="I388" s="11" t="n"/>
    </row>
    <row r="389">
      <c r="A389" s="7" t="n"/>
      <c r="B389" s="8" t="n"/>
      <c r="C389" s="8" t="n"/>
      <c r="D389" s="8" t="n"/>
      <c r="E389" s="8" t="n">
        <v>28</v>
      </c>
      <c r="F389" s="8" t="n">
        <v>0</v>
      </c>
      <c r="G389" s="9" t="n"/>
      <c r="H389" s="10" t="n"/>
      <c r="I389" s="11" t="n"/>
    </row>
    <row r="390">
      <c r="A390" s="7" t="n"/>
      <c r="B390" s="8" t="n"/>
      <c r="C390" s="8" t="n"/>
      <c r="D390" s="8" t="n"/>
      <c r="E390" s="8" t="n">
        <v>27</v>
      </c>
      <c r="F390" s="8" t="n">
        <v>0</v>
      </c>
      <c r="G390" s="9" t="n"/>
      <c r="H390" s="10" t="n"/>
      <c r="I390" s="11" t="n"/>
    </row>
    <row r="391">
      <c r="A391" s="7" t="n"/>
      <c r="B391" s="8" t="n"/>
      <c r="C391" s="8" t="n"/>
      <c r="D391" s="8" t="n"/>
      <c r="E391" s="8" t="n">
        <v>26</v>
      </c>
      <c r="F391" s="8" t="n">
        <v>0</v>
      </c>
      <c r="G391" s="9" t="n"/>
      <c r="H391" s="10" t="n"/>
      <c r="I391" s="11" t="n"/>
    </row>
    <row r="392">
      <c r="A392" s="7" t="n"/>
      <c r="B392" s="8" t="n"/>
      <c r="C392" s="8" t="n"/>
      <c r="D392" s="8" t="n"/>
      <c r="E392" s="8" t="n">
        <v>25</v>
      </c>
      <c r="F392" s="8" t="n">
        <v>0</v>
      </c>
      <c r="G392" s="26" t="inlineStr">
        <is>
          <t>LVDS_MODE</t>
        </is>
      </c>
      <c r="H392" s="27" t="inlineStr">
        <is>
          <t>RO</t>
        </is>
      </c>
      <c r="I392" s="28" t="inlineStr"/>
    </row>
    <row r="393">
      <c r="A393" s="7" t="n"/>
      <c r="B393" s="8" t="n"/>
      <c r="C393" s="8" t="n"/>
      <c r="D393" s="8" t="n"/>
      <c r="E393" s="8" t="n">
        <v>24</v>
      </c>
      <c r="F393" s="8" t="n">
        <v>0</v>
      </c>
      <c r="G393" s="26" t="inlineStr">
        <is>
          <t>CMOS_MODE</t>
        </is>
      </c>
      <c r="H393" s="27" t="inlineStr">
        <is>
          <t>RO</t>
        </is>
      </c>
      <c r="I393" s="28" t="inlineStr"/>
    </row>
    <row r="394">
      <c r="A394" s="7" t="n"/>
      <c r="B394" s="8" t="n"/>
      <c r="C394" s="8" t="n"/>
      <c r="D394" s="8" t="str">
        <f>DEC2HEX(128*F394+64*F395+32*F396+16*F397+8*F398+4*F399+2*F400+1*F401,2)&amp;"h"</f>
        <v>00h</v>
      </c>
      <c r="E394" s="8" t="n">
        <v>23</v>
      </c>
      <c r="F394" s="8" t="n">
        <v>0</v>
      </c>
      <c r="G394" s="9" t="inlineStr">
        <is>
          <t>RESERVED</t>
        </is>
      </c>
      <c r="H394" s="10" t="inlineStr">
        <is>
          <t>RO</t>
        </is>
      </c>
      <c r="I394" s="11" t="inlineStr">
        <is>
          <t>Reserved; keep at reset value.</t>
        </is>
      </c>
    </row>
    <row r="395">
      <c r="A395" s="7" t="n"/>
      <c r="B395" s="8" t="n"/>
      <c r="C395" s="8" t="n"/>
      <c r="D395" s="8" t="n"/>
      <c r="E395" s="8" t="n">
        <v>22</v>
      </c>
      <c r="F395" s="8" t="n">
        <v>0</v>
      </c>
      <c r="G395" s="9" t="n"/>
      <c r="H395" s="10" t="n"/>
      <c r="I395" s="11" t="n"/>
    </row>
    <row r="396">
      <c r="A396" s="7" t="n"/>
      <c r="B396" s="8" t="n"/>
      <c r="C396" s="8" t="n"/>
      <c r="D396" s="8" t="n"/>
      <c r="E396" s="8" t="n">
        <v>21</v>
      </c>
      <c r="F396" s="8" t="n">
        <v>0</v>
      </c>
      <c r="G396" s="9" t="n"/>
      <c r="H396" s="10" t="n"/>
      <c r="I396" s="11" t="n"/>
    </row>
    <row r="397">
      <c r="A397" s="7" t="n"/>
      <c r="B397" s="8" t="n"/>
      <c r="C397" s="8" t="n"/>
      <c r="D397" s="8" t="n"/>
      <c r="E397" s="8" t="n">
        <v>20</v>
      </c>
      <c r="F397" s="8" t="n">
        <v>0</v>
      </c>
      <c r="G397" s="9" t="n"/>
      <c r="H397" s="10" t="n"/>
      <c r="I397" s="11" t="n"/>
    </row>
    <row r="398">
      <c r="A398" s="7" t="n"/>
      <c r="B398" s="8" t="n"/>
      <c r="C398" s="8" t="n"/>
      <c r="D398" s="8" t="n"/>
      <c r="E398" s="8" t="n">
        <v>19</v>
      </c>
      <c r="F398" s="8" t="n">
        <v>0</v>
      </c>
      <c r="G398" s="9" t="n"/>
      <c r="H398" s="10" t="n"/>
      <c r="I398" s="11" t="n"/>
    </row>
    <row r="399">
      <c r="A399" s="7" t="n"/>
      <c r="B399" s="8" t="n"/>
      <c r="C399" s="8" t="n"/>
      <c r="D399" s="8" t="n"/>
      <c r="E399" s="8" t="n">
        <v>18</v>
      </c>
      <c r="F399" s="8" t="n">
        <v>0</v>
      </c>
      <c r="G399" s="9" t="n"/>
      <c r="H399" s="10" t="n"/>
      <c r="I399" s="11" t="n"/>
    </row>
    <row r="400">
      <c r="A400" s="7" t="n"/>
      <c r="B400" s="8" t="n"/>
      <c r="C400" s="8" t="n"/>
      <c r="D400" s="8" t="n"/>
      <c r="E400" s="8" t="n">
        <v>17</v>
      </c>
      <c r="F400" s="8" t="n">
        <v>0</v>
      </c>
      <c r="G400" s="9" t="n"/>
      <c r="H400" s="10" t="n"/>
      <c r="I400" s="11" t="n"/>
    </row>
    <row r="401">
      <c r="A401" s="7" t="n"/>
      <c r="B401" s="8" t="n"/>
      <c r="C401" s="8" t="n"/>
      <c r="D401" s="8" t="n"/>
      <c r="E401" s="8" t="n">
        <v>16</v>
      </c>
      <c r="F401" s="8" t="n">
        <v>0</v>
      </c>
      <c r="G401" s="26" t="inlineStr">
        <is>
          <t>delay_locked</t>
        </is>
      </c>
      <c r="H401" s="27" t="inlineStr">
        <is>
          <t>RO</t>
        </is>
      </c>
      <c r="I401" s="28" t="inlineStr"/>
    </row>
    <row r="402">
      <c r="A402" s="7" t="n"/>
      <c r="B402" s="8" t="n"/>
      <c r="C402" s="8" t="n"/>
      <c r="D402" s="8" t="str">
        <f>DEC2HEX(128*F402+64*F403+32*F404+16*F405+8*F406+4*F407+2*F408+1*F409,2)&amp;"h"</f>
        <v>00h</v>
      </c>
      <c r="E402" s="8" t="n">
        <v>15</v>
      </c>
      <c r="F402" s="8" t="n">
        <v>0</v>
      </c>
      <c r="G402" s="9" t="inlineStr">
        <is>
          <t>RESERVED</t>
        </is>
      </c>
      <c r="H402" s="10" t="inlineStr">
        <is>
          <t>RO</t>
        </is>
      </c>
      <c r="I402" s="11" t="inlineStr">
        <is>
          <t>Reserved; keep at reset value.</t>
        </is>
      </c>
    </row>
    <row r="403">
      <c r="A403" s="7" t="n"/>
      <c r="B403" s="8" t="n"/>
      <c r="C403" s="8" t="n"/>
      <c r="D403" s="8" t="n"/>
      <c r="E403" s="8" t="n">
        <v>14</v>
      </c>
      <c r="F403" s="8" t="n">
        <v>0</v>
      </c>
      <c r="G403" s="9" t="n"/>
      <c r="H403" s="10" t="n"/>
      <c r="I403" s="11" t="n"/>
    </row>
    <row r="404">
      <c r="A404" s="7" t="n"/>
      <c r="B404" s="8" t="n"/>
      <c r="C404" s="8" t="n"/>
      <c r="D404" s="8" t="n"/>
      <c r="E404" s="8" t="n">
        <v>13</v>
      </c>
      <c r="F404" s="8" t="n">
        <v>0</v>
      </c>
      <c r="G404" s="9" t="n"/>
      <c r="H404" s="10" t="n"/>
      <c r="I404" s="11" t="n"/>
    </row>
    <row r="405">
      <c r="A405" s="7" t="n"/>
      <c r="B405" s="8" t="n"/>
      <c r="C405" s="8" t="n"/>
      <c r="D405" s="8" t="n"/>
      <c r="E405" s="8" t="n">
        <v>12</v>
      </c>
      <c r="F405" s="8" t="n">
        <v>0</v>
      </c>
      <c r="G405" s="26" t="inlineStr">
        <is>
          <t>fb_clk_delay_effect</t>
        </is>
      </c>
      <c r="H405" s="27" t="inlineStr">
        <is>
          <t>RO</t>
        </is>
      </c>
      <c r="I405" s="28" t="inlineStr"/>
    </row>
    <row r="406">
      <c r="A406" s="7" t="n"/>
      <c r="B406" s="8" t="n"/>
      <c r="C406" s="8" t="n"/>
      <c r="D406" s="8" t="n"/>
      <c r="E406" s="8" t="n">
        <v>11</v>
      </c>
      <c r="F406" s="8" t="n">
        <v>0</v>
      </c>
      <c r="G406" s="26" t="n"/>
      <c r="H406" s="27" t="n"/>
      <c r="I406" s="28" t="n"/>
    </row>
    <row r="407">
      <c r="A407" s="7" t="n"/>
      <c r="B407" s="8" t="n"/>
      <c r="C407" s="8" t="n"/>
      <c r="D407" s="8" t="n"/>
      <c r="E407" s="8" t="n">
        <v>10</v>
      </c>
      <c r="F407" s="8" t="n">
        <v>0</v>
      </c>
      <c r="G407" s="26" t="n"/>
      <c r="H407" s="27" t="n"/>
      <c r="I407" s="28" t="n"/>
    </row>
    <row r="408">
      <c r="A408" s="7" t="n"/>
      <c r="B408" s="8" t="n"/>
      <c r="C408" s="8" t="n"/>
      <c r="D408" s="8" t="n"/>
      <c r="E408" s="8" t="n">
        <v>9</v>
      </c>
      <c r="F408" s="8" t="n">
        <v>0</v>
      </c>
      <c r="G408" s="26" t="n"/>
      <c r="H408" s="27" t="n"/>
      <c r="I408" s="28" t="n"/>
    </row>
    <row r="409">
      <c r="A409" s="7" t="n"/>
      <c r="B409" s="8" t="n"/>
      <c r="C409" s="8" t="n"/>
      <c r="D409" s="8" t="n"/>
      <c r="E409" s="8" t="n">
        <v>8</v>
      </c>
      <c r="F409" s="8" t="n">
        <v>0</v>
      </c>
      <c r="G409" s="26" t="n"/>
      <c r="H409" s="27" t="n"/>
      <c r="I409" s="28" t="n"/>
    </row>
    <row r="410">
      <c r="A410" s="7" t="n"/>
      <c r="B410" s="8" t="n"/>
      <c r="C410" s="8" t="n"/>
      <c r="D410" s="8" t="str">
        <f>DEC2HEX(128*F410+64*F411+32*F412+16*F413+8*F414+4*F415+2*F416+1*F417,2)&amp;"h"</f>
        <v>00h</v>
      </c>
      <c r="E410" s="8" t="n">
        <v>7</v>
      </c>
      <c r="F410" s="8" t="n">
        <v>0</v>
      </c>
      <c r="G410" s="9" t="inlineStr">
        <is>
          <t>RESERVED</t>
        </is>
      </c>
      <c r="H410" s="10" t="inlineStr">
        <is>
          <t>RO</t>
        </is>
      </c>
      <c r="I410" s="11" t="inlineStr">
        <is>
          <t>Reserved; keep at reset value.</t>
        </is>
      </c>
    </row>
    <row r="411">
      <c r="A411" s="7" t="n"/>
      <c r="B411" s="8" t="n"/>
      <c r="C411" s="8" t="n"/>
      <c r="D411" s="8" t="n"/>
      <c r="E411" s="8" t="n">
        <v>6</v>
      </c>
      <c r="F411" s="8" t="n">
        <v>0</v>
      </c>
      <c r="G411" s="9" t="n"/>
      <c r="H411" s="10" t="n"/>
      <c r="I411" s="11" t="n"/>
    </row>
    <row r="412">
      <c r="A412" s="7" t="n"/>
      <c r="B412" s="8" t="n"/>
      <c r="C412" s="8" t="n"/>
      <c r="D412" s="8" t="n"/>
      <c r="E412" s="8" t="n">
        <v>5</v>
      </c>
      <c r="F412" s="8" t="n">
        <v>0</v>
      </c>
      <c r="G412" s="9" t="n"/>
      <c r="H412" s="10" t="n"/>
      <c r="I412" s="11" t="n"/>
    </row>
    <row r="413">
      <c r="A413" s="7" t="n"/>
      <c r="B413" s="8" t="n"/>
      <c r="C413" s="8" t="n"/>
      <c r="D413" s="8" t="n"/>
      <c r="E413" s="8" t="n">
        <v>4</v>
      </c>
      <c r="F413" s="8" t="n">
        <v>0</v>
      </c>
      <c r="G413" s="12" t="inlineStr">
        <is>
          <t>fb_clk_delay_value</t>
        </is>
      </c>
      <c r="H413" s="13" t="inlineStr">
        <is>
          <t>RW</t>
        </is>
      </c>
      <c r="I413" s="14" t="inlineStr"/>
    </row>
    <row r="414">
      <c r="A414" s="7" t="n"/>
      <c r="B414" s="8" t="n"/>
      <c r="C414" s="8" t="n"/>
      <c r="D414" s="8" t="n"/>
      <c r="E414" s="8" t="n">
        <v>3</v>
      </c>
      <c r="F414" s="8" t="n">
        <v>0</v>
      </c>
      <c r="G414" s="12" t="n"/>
      <c r="H414" s="13" t="n"/>
      <c r="I414" s="14" t="n"/>
    </row>
    <row r="415">
      <c r="A415" s="7" t="n"/>
      <c r="B415" s="8" t="n"/>
      <c r="C415" s="8" t="n"/>
      <c r="D415" s="8" t="n"/>
      <c r="E415" s="8" t="n">
        <v>2</v>
      </c>
      <c r="F415" s="8" t="n">
        <v>0</v>
      </c>
      <c r="G415" s="12" t="n"/>
      <c r="H415" s="13" t="n"/>
      <c r="I415" s="14" t="n"/>
    </row>
    <row r="416">
      <c r="A416" s="7" t="n"/>
      <c r="B416" s="8" t="n"/>
      <c r="C416" s="8" t="n"/>
      <c r="D416" s="8" t="n"/>
      <c r="E416" s="8" t="n">
        <v>1</v>
      </c>
      <c r="F416" s="8" t="n">
        <v>0</v>
      </c>
      <c r="G416" s="12" t="n"/>
      <c r="H416" s="13" t="n"/>
      <c r="I416" s="14" t="n"/>
    </row>
    <row r="417">
      <c r="A417" s="15" t="n"/>
      <c r="B417" s="16" t="n"/>
      <c r="C417" s="16" t="n"/>
      <c r="D417" s="16" t="n"/>
      <c r="E417" s="16" t="n">
        <v>0</v>
      </c>
      <c r="F417" s="16" t="n">
        <v>0</v>
      </c>
      <c r="G417" s="17" t="n"/>
      <c r="H417" s="18" t="n"/>
      <c r="I417" s="19" t="n"/>
    </row>
  </sheetData>
  <autoFilter ref="A1:I417"/>
  <mergeCells count="397">
    <mergeCell ref="I229:I233"/>
    <mergeCell ref="H293:H297"/>
    <mergeCell ref="G266:G268"/>
    <mergeCell ref="D50:D57"/>
    <mergeCell ref="H357:H361"/>
    <mergeCell ref="G26:G28"/>
    <mergeCell ref="G330:G332"/>
    <mergeCell ref="G394:G400"/>
    <mergeCell ref="H101:H105"/>
    <mergeCell ref="D258:D265"/>
    <mergeCell ref="H317:H321"/>
    <mergeCell ref="G90:G92"/>
    <mergeCell ref="C322:C353"/>
    <mergeCell ref="I90:I92"/>
    <mergeCell ref="D2:D9"/>
    <mergeCell ref="I154:I156"/>
    <mergeCell ref="G42:G44"/>
    <mergeCell ref="H74:H76"/>
    <mergeCell ref="I197:I201"/>
    <mergeCell ref="H282:H284"/>
    <mergeCell ref="B258:B289"/>
    <mergeCell ref="G69:G73"/>
    <mergeCell ref="G133:G137"/>
    <mergeCell ref="G306:G308"/>
    <mergeCell ref="G370:G372"/>
    <mergeCell ref="I370:I372"/>
    <mergeCell ref="D338:D345"/>
    <mergeCell ref="I314:I316"/>
    <mergeCell ref="H405:H409"/>
    <mergeCell ref="I378:I380"/>
    <mergeCell ref="H165:H169"/>
    <mergeCell ref="H34:H36"/>
    <mergeCell ref="G98:G100"/>
    <mergeCell ref="D66:D73"/>
    <mergeCell ref="G293:G297"/>
    <mergeCell ref="G162:G164"/>
    <mergeCell ref="I293:I297"/>
    <mergeCell ref="I162:I164"/>
    <mergeCell ref="D130:D137"/>
    <mergeCell ref="I181:I185"/>
    <mergeCell ref="G357:G361"/>
    <mergeCell ref="I357:I361"/>
    <mergeCell ref="H346:H348"/>
    <mergeCell ref="H13:H17"/>
    <mergeCell ref="H90:H92"/>
    <mergeCell ref="H154:H156"/>
    <mergeCell ref="G218:G220"/>
    <mergeCell ref="G85:G89"/>
    <mergeCell ref="G282:G284"/>
    <mergeCell ref="A66:A97"/>
    <mergeCell ref="G149:G153"/>
    <mergeCell ref="I149:I153"/>
    <mergeCell ref="D210:D217"/>
    <mergeCell ref="G122:G124"/>
    <mergeCell ref="I213:I217"/>
    <mergeCell ref="D274:D281"/>
    <mergeCell ref="H413:H417"/>
    <mergeCell ref="G186:G188"/>
    <mergeCell ref="D122:D129"/>
    <mergeCell ref="H133:H137"/>
    <mergeCell ref="D114:D121"/>
    <mergeCell ref="H370:H372"/>
    <mergeCell ref="D74:D81"/>
    <mergeCell ref="H237:H241"/>
    <mergeCell ref="I226:I228"/>
    <mergeCell ref="D138:D145"/>
    <mergeCell ref="H301:H305"/>
    <mergeCell ref="G365:G369"/>
    <mergeCell ref="D354:D361"/>
    <mergeCell ref="I34:I36"/>
    <mergeCell ref="G173:G177"/>
    <mergeCell ref="H362:H364"/>
    <mergeCell ref="G130:G132"/>
    <mergeCell ref="H162:H164"/>
    <mergeCell ref="H29:H33"/>
    <mergeCell ref="D298:D305"/>
    <mergeCell ref="B98:B129"/>
    <mergeCell ref="H226:H228"/>
    <mergeCell ref="G157:G161"/>
    <mergeCell ref="B162:B193"/>
    <mergeCell ref="G13:G17"/>
    <mergeCell ref="C130:C161"/>
    <mergeCell ref="G354:G356"/>
    <mergeCell ref="D322:D329"/>
    <mergeCell ref="I221:I225"/>
    <mergeCell ref="A290:A321"/>
    <mergeCell ref="G114:G116"/>
    <mergeCell ref="I114:I116"/>
    <mergeCell ref="I21:I25"/>
    <mergeCell ref="D26:D33"/>
    <mergeCell ref="D82:D89"/>
    <mergeCell ref="C354:C385"/>
    <mergeCell ref="I178:I180"/>
    <mergeCell ref="G202:G204"/>
    <mergeCell ref="A98:A129"/>
    <mergeCell ref="I202:I204"/>
    <mergeCell ref="B66:B97"/>
    <mergeCell ref="C98:C129"/>
    <mergeCell ref="H149:H153"/>
    <mergeCell ref="G386:G391"/>
    <mergeCell ref="I386:I391"/>
    <mergeCell ref="B130:B161"/>
    <mergeCell ref="H213:H217"/>
    <mergeCell ref="I26:I28"/>
    <mergeCell ref="G82:G84"/>
    <mergeCell ref="G381:G385"/>
    <mergeCell ref="G181:G185"/>
    <mergeCell ref="G237:G241"/>
    <mergeCell ref="I381:I385"/>
    <mergeCell ref="I237:I241"/>
    <mergeCell ref="G245:G249"/>
    <mergeCell ref="I301:I305"/>
    <mergeCell ref="H365:H369"/>
    <mergeCell ref="G5:G9"/>
    <mergeCell ref="I5:I9"/>
    <mergeCell ref="I402:I404"/>
    <mergeCell ref="D314:D321"/>
    <mergeCell ref="D330:D337"/>
    <mergeCell ref="G29:G33"/>
    <mergeCell ref="I29:I33"/>
    <mergeCell ref="D90:D97"/>
    <mergeCell ref="H197:H201"/>
    <mergeCell ref="G226:G228"/>
    <mergeCell ref="G362:G364"/>
    <mergeCell ref="D154:D161"/>
    <mergeCell ref="A162:A193"/>
    <mergeCell ref="C162:C193"/>
    <mergeCell ref="H221:H225"/>
    <mergeCell ref="C226:C257"/>
    <mergeCell ref="I194:I196"/>
    <mergeCell ref="I394:I400"/>
    <mergeCell ref="B290:B321"/>
    <mergeCell ref="H114:H116"/>
    <mergeCell ref="G189:G193"/>
    <mergeCell ref="A322:A353"/>
    <mergeCell ref="B354:B385"/>
    <mergeCell ref="G146:G148"/>
    <mergeCell ref="H178:H180"/>
    <mergeCell ref="I146:I148"/>
    <mergeCell ref="H45:H49"/>
    <mergeCell ref="H218:H220"/>
    <mergeCell ref="H386:H391"/>
    <mergeCell ref="G413:G417"/>
    <mergeCell ref="H242:H244"/>
    <mergeCell ref="A130:A161"/>
    <mergeCell ref="I173:I177"/>
    <mergeCell ref="D370:D377"/>
    <mergeCell ref="H338:H340"/>
    <mergeCell ref="G261:G265"/>
    <mergeCell ref="G410:G412"/>
    <mergeCell ref="I410:I412"/>
    <mergeCell ref="I77:I81"/>
    <mergeCell ref="C386:C417"/>
    <mergeCell ref="B322:B353"/>
    <mergeCell ref="H146:H148"/>
    <mergeCell ref="H10:H12"/>
    <mergeCell ref="I218:I220"/>
    <mergeCell ref="D162:D169"/>
    <mergeCell ref="G314:G316"/>
    <mergeCell ref="H69:H73"/>
    <mergeCell ref="D226:D233"/>
    <mergeCell ref="G58:G60"/>
    <mergeCell ref="G378:G380"/>
    <mergeCell ref="I58:I60"/>
    <mergeCell ref="G234:G236"/>
    <mergeCell ref="G197:G201"/>
    <mergeCell ref="I253:I257"/>
    <mergeCell ref="G154:G156"/>
    <mergeCell ref="H186:H188"/>
    <mergeCell ref="H229:H233"/>
    <mergeCell ref="H381:H385"/>
    <mergeCell ref="G221:G225"/>
    <mergeCell ref="D282:D289"/>
    <mergeCell ref="D346:D353"/>
    <mergeCell ref="A354:A385"/>
    <mergeCell ref="G178:G180"/>
    <mergeCell ref="I189:I193"/>
    <mergeCell ref="D386:D393"/>
    <mergeCell ref="I45:I49"/>
    <mergeCell ref="D106:D113"/>
    <mergeCell ref="I242:I244"/>
    <mergeCell ref="H21:H25"/>
    <mergeCell ref="I282:I284"/>
    <mergeCell ref="H173:H177"/>
    <mergeCell ref="G93:G97"/>
    <mergeCell ref="I93:I97"/>
    <mergeCell ref="G338:G340"/>
    <mergeCell ref="G205:G209"/>
    <mergeCell ref="I205:I209"/>
    <mergeCell ref="H410:H412"/>
    <mergeCell ref="H277:H281"/>
    <mergeCell ref="H77:H81"/>
    <mergeCell ref="G106:G108"/>
    <mergeCell ref="D34:D41"/>
    <mergeCell ref="H141:H145"/>
    <mergeCell ref="I10:I12"/>
    <mergeCell ref="I261:I265"/>
    <mergeCell ref="D242:D249"/>
    <mergeCell ref="I74:I76"/>
    <mergeCell ref="I325:I329"/>
    <mergeCell ref="I210:I212"/>
    <mergeCell ref="H5:H9"/>
    <mergeCell ref="H205:H209"/>
    <mergeCell ref="H202:H204"/>
    <mergeCell ref="H58:H60"/>
    <mergeCell ref="H378:H380"/>
    <mergeCell ref="H266:H268"/>
    <mergeCell ref="G34:G36"/>
    <mergeCell ref="G53:G57"/>
    <mergeCell ref="I53:I57"/>
    <mergeCell ref="G229:G233"/>
    <mergeCell ref="A34:A65"/>
    <mergeCell ref="D362:D369"/>
    <mergeCell ref="C34:C65"/>
    <mergeCell ref="I117:I121"/>
    <mergeCell ref="D178:D185"/>
    <mergeCell ref="G213:G217"/>
    <mergeCell ref="H245:H249"/>
    <mergeCell ref="H42:H44"/>
    <mergeCell ref="H189:H193"/>
    <mergeCell ref="H309:H313"/>
    <mergeCell ref="G21:G25"/>
    <mergeCell ref="H53:H57"/>
    <mergeCell ref="G170:G172"/>
    <mergeCell ref="H93:H97"/>
    <mergeCell ref="I234:I236"/>
    <mergeCell ref="D146:D153"/>
    <mergeCell ref="H157:H161"/>
    <mergeCell ref="I277:I281"/>
    <mergeCell ref="I42:I44"/>
    <mergeCell ref="G285:G289"/>
    <mergeCell ref="I285:I289"/>
    <mergeCell ref="I341:I345"/>
    <mergeCell ref="H170:H172"/>
    <mergeCell ref="H37:H41"/>
    <mergeCell ref="B386:B417"/>
    <mergeCell ref="H210:H212"/>
    <mergeCell ref="D186:D193"/>
    <mergeCell ref="G165:G169"/>
    <mergeCell ref="H274:H276"/>
    <mergeCell ref="G194:G196"/>
    <mergeCell ref="I266:I268"/>
    <mergeCell ref="G77:G81"/>
    <mergeCell ref="G402:G404"/>
    <mergeCell ref="I133:I137"/>
    <mergeCell ref="H50:H52"/>
    <mergeCell ref="D194:D201"/>
    <mergeCell ref="I258:I260"/>
    <mergeCell ref="I330:I332"/>
    <mergeCell ref="D58:D65"/>
    <mergeCell ref="H261:H265"/>
    <mergeCell ref="B34:B65"/>
    <mergeCell ref="H117:H121"/>
    <mergeCell ref="H2:H4"/>
    <mergeCell ref="H253:H257"/>
    <mergeCell ref="H325:H329"/>
    <mergeCell ref="H66:H68"/>
    <mergeCell ref="H354:H356"/>
    <mergeCell ref="A226:A257"/>
    <mergeCell ref="G309:G313"/>
    <mergeCell ref="I309:I313"/>
    <mergeCell ref="G50:G52"/>
    <mergeCell ref="I250:I252"/>
    <mergeCell ref="I50:I52"/>
    <mergeCell ref="G349:G353"/>
    <mergeCell ref="I349:I353"/>
    <mergeCell ref="H122:H124"/>
    <mergeCell ref="D410:D417"/>
    <mergeCell ref="I69:I73"/>
    <mergeCell ref="I362:I364"/>
    <mergeCell ref="H234:H236"/>
    <mergeCell ref="I413:I417"/>
    <mergeCell ref="I306:I308"/>
    <mergeCell ref="G141:G145"/>
    <mergeCell ref="H349:H353"/>
    <mergeCell ref="D202:D209"/>
    <mergeCell ref="G37:G41"/>
    <mergeCell ref="D378:D385"/>
    <mergeCell ref="I37:I41"/>
    <mergeCell ref="A386:A417"/>
    <mergeCell ref="G210:G212"/>
    <mergeCell ref="I98:I100"/>
    <mergeCell ref="G274:G276"/>
    <mergeCell ref="D10:D17"/>
    <mergeCell ref="I274:I276"/>
    <mergeCell ref="I338:I340"/>
    <mergeCell ref="H402:H404"/>
    <mergeCell ref="H269:H273"/>
    <mergeCell ref="H125:H129"/>
    <mergeCell ref="H290:H292"/>
    <mergeCell ref="H333:H337"/>
    <mergeCell ref="G2:G4"/>
    <mergeCell ref="G253:G257"/>
    <mergeCell ref="G66:G68"/>
    <mergeCell ref="H98:H100"/>
    <mergeCell ref="I66:I68"/>
    <mergeCell ref="I141:I145"/>
    <mergeCell ref="G317:G321"/>
    <mergeCell ref="I317:I321"/>
    <mergeCell ref="A2:A33"/>
    <mergeCell ref="C2:C33"/>
    <mergeCell ref="I85:I89"/>
    <mergeCell ref="B226:B257"/>
    <mergeCell ref="H194:H196"/>
    <mergeCell ref="H250:H252"/>
    <mergeCell ref="D290:D297"/>
    <mergeCell ref="C66:C97"/>
    <mergeCell ref="H258:H260"/>
    <mergeCell ref="B194:B225"/>
    <mergeCell ref="G45:G49"/>
    <mergeCell ref="H18:H20"/>
    <mergeCell ref="G242:G244"/>
    <mergeCell ref="G109:G113"/>
    <mergeCell ref="H82:H84"/>
    <mergeCell ref="I109:I113"/>
    <mergeCell ref="D170:D177"/>
    <mergeCell ref="H181:H185"/>
    <mergeCell ref="I2:I4"/>
    <mergeCell ref="D234:D241"/>
    <mergeCell ref="G346:G348"/>
    <mergeCell ref="I346:I348"/>
    <mergeCell ref="I365:I369"/>
    <mergeCell ref="I106:I108"/>
    <mergeCell ref="D18:D25"/>
    <mergeCell ref="G373:G377"/>
    <mergeCell ref="H341:H345"/>
    <mergeCell ref="H394:H400"/>
    <mergeCell ref="H61:H65"/>
    <mergeCell ref="I170:I172"/>
    <mergeCell ref="H85:H89"/>
    <mergeCell ref="G74:G76"/>
    <mergeCell ref="D394:D401"/>
    <mergeCell ref="I130:I132"/>
    <mergeCell ref="G325:G329"/>
    <mergeCell ref="H298:H300"/>
    <mergeCell ref="G269:G273"/>
    <mergeCell ref="G138:G140"/>
    <mergeCell ref="I269:I273"/>
    <mergeCell ref="I138:I140"/>
    <mergeCell ref="G290:G292"/>
    <mergeCell ref="I290:I292"/>
    <mergeCell ref="I157:I161"/>
    <mergeCell ref="G333:G337"/>
    <mergeCell ref="I13:I17"/>
    <mergeCell ref="D218:D225"/>
    <mergeCell ref="I333:I337"/>
    <mergeCell ref="H322:H324"/>
    <mergeCell ref="I354:I356"/>
    <mergeCell ref="D266:D273"/>
    <mergeCell ref="H285:H289"/>
    <mergeCell ref="C290:C321"/>
    <mergeCell ref="D306:D313"/>
    <mergeCell ref="H26:H28"/>
    <mergeCell ref="B2:B33"/>
    <mergeCell ref="H130:H132"/>
    <mergeCell ref="G117:G121"/>
    <mergeCell ref="G10:G12"/>
    <mergeCell ref="G258:G260"/>
    <mergeCell ref="G125:G129"/>
    <mergeCell ref="G250:G252"/>
    <mergeCell ref="D42:D49"/>
    <mergeCell ref="A194:A225"/>
    <mergeCell ref="C194:C225"/>
    <mergeCell ref="G18:G20"/>
    <mergeCell ref="G322:G324"/>
    <mergeCell ref="I373:I377"/>
    <mergeCell ref="I18:I20"/>
    <mergeCell ref="I322:I324"/>
    <mergeCell ref="D250:D257"/>
    <mergeCell ref="I186:I188"/>
    <mergeCell ref="A258:A289"/>
    <mergeCell ref="C258:C289"/>
    <mergeCell ref="H109:H113"/>
    <mergeCell ref="I82:I84"/>
    <mergeCell ref="H306:H308"/>
    <mergeCell ref="I245:I249"/>
    <mergeCell ref="G277:G281"/>
    <mergeCell ref="H106:H108"/>
    <mergeCell ref="G301:G305"/>
    <mergeCell ref="G341:G345"/>
    <mergeCell ref="H373:H377"/>
    <mergeCell ref="H314:H316"/>
    <mergeCell ref="G61:G65"/>
    <mergeCell ref="D402:D409"/>
    <mergeCell ref="I61:I65"/>
    <mergeCell ref="H330:H332"/>
    <mergeCell ref="G101:G105"/>
    <mergeCell ref="G405:G409"/>
    <mergeCell ref="I101:I105"/>
    <mergeCell ref="I405:I409"/>
    <mergeCell ref="I125:I129"/>
    <mergeCell ref="I122:I124"/>
    <mergeCell ref="G298:G300"/>
    <mergeCell ref="I298:I300"/>
    <mergeCell ref="I165:I169"/>
    <mergeCell ref="H138:H140"/>
    <mergeCell ref="D98:D105"/>
  </mergeCells>
  <pageMargins left="0.25" right="0.2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6" customWidth="1" min="3" max="3"/>
    <col width="15" customWidth="1" min="4" max="4"/>
    <col width="8" customWidth="1" min="5" max="5"/>
    <col width="14" customWidth="1" min="6" max="6"/>
    <col width="24" customWidth="1" min="7" max="7"/>
    <col width="15" customWidth="1" min="8" max="8"/>
    <col width="52" customWidth="1" min="9" max="9"/>
  </cols>
  <sheetData>
    <row r="1" ht="32" customHeight="1">
      <c r="A1" s="1" t="inlineStr">
        <is>
          <t>Register Name</t>
        </is>
      </c>
      <c r="B1" s="1" t="inlineStr">
        <is>
          <t>Offset (hex)</t>
        </is>
      </c>
      <c r="C1" s="1" t="inlineStr">
        <is>
          <t>Reg Value
(hex)</t>
        </is>
      </c>
      <c r="D1" s="1" t="inlineStr">
        <is>
          <t>Byte Value
(hex)</t>
        </is>
      </c>
      <c r="E1" s="1" t="inlineStr">
        <is>
          <t>Bits</t>
        </is>
      </c>
      <c r="F1" s="1" t="inlineStr">
        <is>
          <t>Bit Value
(hex)</t>
        </is>
      </c>
      <c r="G1" s="1" t="inlineStr">
        <is>
          <t>Field Name</t>
        </is>
      </c>
      <c r="H1" s="1" t="inlineStr">
        <is>
          <t>Memory Access</t>
        </is>
      </c>
      <c r="I1" s="1" t="inlineStr">
        <is>
          <t>Description</t>
        </is>
      </c>
    </row>
    <row r="2">
      <c r="A2" s="2" t="inlineStr">
        <is>
          <t>DMA_CTRL</t>
        </is>
      </c>
      <c r="B2" s="3" t="str">
        <f>DEC2HEX(256,4)&amp;"h"</f>
        <v>0100h</v>
      </c>
      <c r="C2" s="3" t="str">
        <f>LEFT(D2,2)&amp;LEFT(D10,2)&amp;LEFT(D18,2)&amp;LEFT(D26,2)&amp;"h"</f>
        <v>00000000h</v>
      </c>
      <c r="D2" s="3" t="str">
        <f>DEC2HEX(128*F2+64*F3+32*F4+16*F5+8*F6+4*F7+2*F8+1*F9,2)&amp;"h"</f>
        <v>00h</v>
      </c>
      <c r="E2" s="3" t="n">
        <v>31</v>
      </c>
      <c r="F2" s="3" t="n">
        <v>0</v>
      </c>
      <c r="G2" s="4" t="inlineStr">
        <is>
          <t>RESERVED</t>
        </is>
      </c>
      <c r="H2" s="5" t="inlineStr">
        <is>
          <t>RO</t>
        </is>
      </c>
      <c r="I2" s="6" t="inlineStr">
        <is>
          <t>Reserved; keep at reset value.</t>
        </is>
      </c>
    </row>
    <row r="3">
      <c r="A3" s="7" t="n"/>
      <c r="B3" s="8" t="n"/>
      <c r="C3" s="8" t="n"/>
      <c r="D3" s="8" t="n"/>
      <c r="E3" s="8" t="n">
        <v>30</v>
      </c>
      <c r="F3" s="8" t="n">
        <v>0</v>
      </c>
      <c r="G3" s="9" t="n"/>
      <c r="H3" s="10" t="n"/>
      <c r="I3" s="11" t="n"/>
    </row>
    <row r="4">
      <c r="A4" s="7" t="n"/>
      <c r="B4" s="8" t="n"/>
      <c r="C4" s="8" t="n"/>
      <c r="D4" s="8" t="n"/>
      <c r="E4" s="8" t="n">
        <v>29</v>
      </c>
      <c r="F4" s="8" t="n">
        <v>0</v>
      </c>
      <c r="G4" s="9" t="n"/>
      <c r="H4" s="10" t="n"/>
      <c r="I4" s="11" t="n"/>
    </row>
    <row r="5">
      <c r="A5" s="7" t="n"/>
      <c r="B5" s="8" t="n"/>
      <c r="C5" s="8" t="n"/>
      <c r="D5" s="8" t="n"/>
      <c r="E5" s="8" t="n">
        <v>28</v>
      </c>
      <c r="F5" s="8" t="n">
        <v>0</v>
      </c>
      <c r="G5" s="9" t="n"/>
      <c r="H5" s="10" t="n"/>
      <c r="I5" s="11" t="n"/>
    </row>
    <row r="6">
      <c r="A6" s="7" t="n"/>
      <c r="B6" s="8" t="n"/>
      <c r="C6" s="8" t="n"/>
      <c r="D6" s="8" t="n"/>
      <c r="E6" s="8" t="n">
        <v>27</v>
      </c>
      <c r="F6" s="8" t="n">
        <v>0</v>
      </c>
      <c r="G6" s="9" t="n"/>
      <c r="H6" s="10" t="n"/>
      <c r="I6" s="11" t="n"/>
    </row>
    <row r="7">
      <c r="A7" s="7" t="n"/>
      <c r="B7" s="8" t="n"/>
      <c r="C7" s="8" t="n"/>
      <c r="D7" s="8" t="n"/>
      <c r="E7" s="8" t="n">
        <v>26</v>
      </c>
      <c r="F7" s="8" t="n">
        <v>0</v>
      </c>
      <c r="G7" s="9" t="n"/>
      <c r="H7" s="10" t="n"/>
      <c r="I7" s="11" t="n"/>
    </row>
    <row r="8">
      <c r="A8" s="7" t="n"/>
      <c r="B8" s="8" t="n"/>
      <c r="C8" s="8" t="n"/>
      <c r="D8" s="8" t="n"/>
      <c r="E8" s="8" t="n">
        <v>25</v>
      </c>
      <c r="F8" s="8" t="n">
        <v>0</v>
      </c>
      <c r="G8" s="12" t="inlineStr">
        <is>
          <t>eot_en</t>
        </is>
      </c>
      <c r="H8" s="13" t="inlineStr">
        <is>
          <t>RW</t>
        </is>
      </c>
      <c r="I8" s="14" t="inlineStr">
        <is>
          <t>传输结束中断</t>
        </is>
      </c>
    </row>
    <row r="9">
      <c r="A9" s="7" t="n"/>
      <c r="B9" s="8" t="n"/>
      <c r="C9" s="8" t="n"/>
      <c r="D9" s="8" t="n"/>
      <c r="E9" s="8" t="n">
        <v>24</v>
      </c>
      <c r="F9" s="8" t="n">
        <v>0</v>
      </c>
      <c r="G9" s="12" t="inlineStr">
        <is>
          <t>sot_en</t>
        </is>
      </c>
      <c r="H9" s="13" t="inlineStr">
        <is>
          <t>RW</t>
        </is>
      </c>
      <c r="I9" s="14" t="inlineStr">
        <is>
          <t>传输开始中断</t>
        </is>
      </c>
    </row>
    <row r="10">
      <c r="A10" s="7" t="n"/>
      <c r="B10" s="8" t="n"/>
      <c r="C10" s="8" t="n"/>
      <c r="D10" s="8" t="str">
        <f>DEC2HEX(128*F10+64*F11+32*F12+16*F13+8*F14+4*F15+2*F16+1*F17,2)&amp;"h"</f>
        <v>00h</v>
      </c>
      <c r="E10" s="8" t="n">
        <v>23</v>
      </c>
      <c r="F10" s="8" t="n">
        <v>0</v>
      </c>
      <c r="G10" s="9" t="inlineStr">
        <is>
          <t>RESERVED</t>
        </is>
      </c>
      <c r="H10" s="10" t="inlineStr">
        <is>
          <t>RO</t>
        </is>
      </c>
      <c r="I10" s="11" t="inlineStr">
        <is>
          <t>Reserved; keep at reset value.</t>
        </is>
      </c>
    </row>
    <row r="11">
      <c r="A11" s="7" t="n"/>
      <c r="B11" s="8" t="n"/>
      <c r="C11" s="8" t="n"/>
      <c r="D11" s="8" t="n"/>
      <c r="E11" s="8" t="n">
        <v>22</v>
      </c>
      <c r="F11" s="8" t="n">
        <v>0</v>
      </c>
      <c r="G11" s="9" t="n"/>
      <c r="H11" s="10" t="n"/>
      <c r="I11" s="11" t="n"/>
    </row>
    <row r="12">
      <c r="A12" s="7" t="n"/>
      <c r="B12" s="8" t="n"/>
      <c r="C12" s="8" t="n"/>
      <c r="D12" s="8" t="n"/>
      <c r="E12" s="8" t="n">
        <v>21</v>
      </c>
      <c r="F12" s="8" t="n">
        <v>0</v>
      </c>
      <c r="G12" s="9" t="n"/>
      <c r="H12" s="10" t="n"/>
      <c r="I12" s="11" t="n"/>
    </row>
    <row r="13">
      <c r="A13" s="7" t="n"/>
      <c r="B13" s="8" t="n"/>
      <c r="C13" s="8" t="n"/>
      <c r="D13" s="8" t="n"/>
      <c r="E13" s="8" t="n">
        <v>20</v>
      </c>
      <c r="F13" s="8" t="n">
        <v>0</v>
      </c>
      <c r="G13" s="9" t="n"/>
      <c r="H13" s="10" t="n"/>
      <c r="I13" s="11" t="n"/>
    </row>
    <row r="14">
      <c r="A14" s="7" t="n"/>
      <c r="B14" s="8" t="n"/>
      <c r="C14" s="8" t="n"/>
      <c r="D14" s="8" t="n"/>
      <c r="E14" s="8" t="n">
        <v>19</v>
      </c>
      <c r="F14" s="8" t="n">
        <v>0</v>
      </c>
      <c r="G14" s="26" t="inlineStr">
        <is>
          <t>transfer_status</t>
        </is>
      </c>
      <c r="H14" s="27" t="inlineStr">
        <is>
          <t>RO</t>
        </is>
      </c>
      <c r="I14" s="28" t="inlineStr">
        <is>
          <t>ch0 数据错误</t>
        </is>
      </c>
    </row>
    <row r="15">
      <c r="A15" s="7" t="n"/>
      <c r="B15" s="8" t="n"/>
      <c r="C15" s="8" t="n"/>
      <c r="D15" s="8" t="n"/>
      <c r="E15" s="8" t="n">
        <v>18</v>
      </c>
      <c r="F15" s="8" t="n">
        <v>0</v>
      </c>
      <c r="G15" s="26" t="n"/>
      <c r="H15" s="27" t="n"/>
      <c r="I15" s="28" t="n"/>
    </row>
    <row r="16">
      <c r="A16" s="7" t="n"/>
      <c r="B16" s="8" t="n"/>
      <c r="C16" s="8" t="n"/>
      <c r="D16" s="8" t="n"/>
      <c r="E16" s="8" t="n">
        <v>17</v>
      </c>
      <c r="F16" s="8" t="n">
        <v>0</v>
      </c>
      <c r="G16" s="26" t="n"/>
      <c r="H16" s="27" t="n"/>
      <c r="I16" s="28" t="n"/>
    </row>
    <row r="17">
      <c r="A17" s="7" t="n"/>
      <c r="B17" s="8" t="n"/>
      <c r="C17" s="8" t="n"/>
      <c r="D17" s="8" t="n"/>
      <c r="E17" s="8" t="n">
        <v>16</v>
      </c>
      <c r="F17" s="8" t="n">
        <v>0</v>
      </c>
      <c r="G17" s="26" t="n"/>
      <c r="H17" s="27" t="n"/>
      <c r="I17" s="28" t="n"/>
    </row>
    <row r="18">
      <c r="A18" s="7" t="n"/>
      <c r="B18" s="8" t="n"/>
      <c r="C18" s="8" t="n"/>
      <c r="D18" s="8" t="str">
        <f>DEC2HEX(128*F18+64*F19+32*F20+16*F21+8*F22+4*F23+2*F24+1*F25,2)&amp;"h"</f>
        <v>00h</v>
      </c>
      <c r="E18" s="8" t="n">
        <v>15</v>
      </c>
      <c r="F18" s="8" t="n">
        <v>0</v>
      </c>
      <c r="G18" s="9" t="inlineStr">
        <is>
          <t>RESERVED</t>
        </is>
      </c>
      <c r="H18" s="10" t="inlineStr">
        <is>
          <t>RO</t>
        </is>
      </c>
      <c r="I18" s="11" t="inlineStr">
        <is>
          <t>Reserved; keep at reset value.</t>
        </is>
      </c>
    </row>
    <row r="19">
      <c r="A19" s="7" t="n"/>
      <c r="B19" s="8" t="n"/>
      <c r="C19" s="8" t="n"/>
      <c r="D19" s="8" t="n"/>
      <c r="E19" s="8" t="n">
        <v>14</v>
      </c>
      <c r="F19" s="8" t="n">
        <v>0</v>
      </c>
      <c r="G19" s="9" t="n"/>
      <c r="H19" s="10" t="n"/>
      <c r="I19" s="11" t="n"/>
    </row>
    <row r="20">
      <c r="A20" s="7" t="n"/>
      <c r="B20" s="8" t="n"/>
      <c r="C20" s="8" t="n"/>
      <c r="D20" s="8" t="n"/>
      <c r="E20" s="8" t="n">
        <v>13</v>
      </c>
      <c r="F20" s="8" t="n">
        <v>0</v>
      </c>
      <c r="G20" s="9" t="n"/>
      <c r="H20" s="10" t="n"/>
      <c r="I20" s="11" t="n"/>
    </row>
    <row r="21">
      <c r="A21" s="7" t="n"/>
      <c r="B21" s="8" t="n"/>
      <c r="C21" s="8" t="n"/>
      <c r="D21" s="8" t="n"/>
      <c r="E21" s="8" t="n">
        <v>12</v>
      </c>
      <c r="F21" s="8" t="n">
        <v>0</v>
      </c>
      <c r="G21" s="9" t="n"/>
      <c r="H21" s="10" t="n"/>
      <c r="I21" s="11" t="n"/>
    </row>
    <row r="22">
      <c r="A22" s="7" t="n"/>
      <c r="B22" s="8" t="n"/>
      <c r="C22" s="8" t="n"/>
      <c r="D22" s="8" t="n"/>
      <c r="E22" s="8" t="n">
        <v>11</v>
      </c>
      <c r="F22" s="8" t="n">
        <v>0</v>
      </c>
      <c r="G22" s="9" t="n"/>
      <c r="H22" s="10" t="n"/>
      <c r="I22" s="11" t="n"/>
    </row>
    <row r="23">
      <c r="A23" s="7" t="n"/>
      <c r="B23" s="8" t="n"/>
      <c r="C23" s="8" t="n"/>
      <c r="D23" s="8" t="n"/>
      <c r="E23" s="8" t="n">
        <v>10</v>
      </c>
      <c r="F23" s="8" t="n">
        <v>0</v>
      </c>
      <c r="G23" s="12" t="inlineStr">
        <is>
          <t>transfer_mode</t>
        </is>
      </c>
      <c r="H23" s="13" t="inlineStr">
        <is>
          <t>RW</t>
        </is>
      </c>
      <c r="I23" s="14" t="inlineStr">
        <is>
          <t>传输模式：
0：正常传输。1：交织传输
2：只传输通道1。3：只传输通道2</t>
        </is>
      </c>
    </row>
    <row r="24">
      <c r="A24" s="7" t="n"/>
      <c r="B24" s="8" t="n"/>
      <c r="C24" s="8" t="n"/>
      <c r="D24" s="8" t="n"/>
      <c r="E24" s="8" t="n">
        <v>9</v>
      </c>
      <c r="F24" s="8" t="n">
        <v>0</v>
      </c>
      <c r="G24" s="12" t="n"/>
      <c r="H24" s="13" t="n"/>
      <c r="I24" s="14" t="n"/>
    </row>
    <row r="25">
      <c r="A25" s="7" t="n"/>
      <c r="B25" s="8" t="n"/>
      <c r="C25" s="8" t="n"/>
      <c r="D25" s="8" t="n"/>
      <c r="E25" s="8" t="n">
        <v>8</v>
      </c>
      <c r="F25" s="8" t="n">
        <v>0</v>
      </c>
      <c r="G25" s="12" t="n"/>
      <c r="H25" s="13" t="n"/>
      <c r="I25" s="14" t="n"/>
    </row>
    <row r="26">
      <c r="A26" s="7" t="n"/>
      <c r="B26" s="8" t="n"/>
      <c r="C26" s="8" t="n"/>
      <c r="D26" s="8" t="str">
        <f>DEC2HEX(128*F26+64*F27+32*F28+16*F29+8*F30+4*F31+2*F32+1*F33,2)&amp;"h"</f>
        <v>00h</v>
      </c>
      <c r="E26" s="8" t="n">
        <v>7</v>
      </c>
      <c r="F26" s="8" t="n">
        <v>0</v>
      </c>
      <c r="G26" s="9" t="inlineStr">
        <is>
          <t>RESERVED</t>
        </is>
      </c>
      <c r="H26" s="10" t="inlineStr">
        <is>
          <t>RO</t>
        </is>
      </c>
      <c r="I26" s="11" t="inlineStr">
        <is>
          <t>Reserved; keep at reset value.</t>
        </is>
      </c>
    </row>
    <row r="27">
      <c r="A27" s="7" t="n"/>
      <c r="B27" s="8" t="n"/>
      <c r="C27" s="8" t="n"/>
      <c r="D27" s="8" t="n"/>
      <c r="E27" s="8" t="n">
        <v>6</v>
      </c>
      <c r="F27" s="8" t="n">
        <v>0</v>
      </c>
      <c r="G27" s="9" t="n"/>
      <c r="H27" s="10" t="n"/>
      <c r="I27" s="11" t="n"/>
    </row>
    <row r="28">
      <c r="A28" s="7" t="n"/>
      <c r="B28" s="8" t="n"/>
      <c r="C28" s="8" t="n"/>
      <c r="D28" s="8" t="n"/>
      <c r="E28" s="8" t="n">
        <v>5</v>
      </c>
      <c r="F28" s="8" t="n">
        <v>0</v>
      </c>
      <c r="G28" s="9" t="n"/>
      <c r="H28" s="10" t="n"/>
      <c r="I28" s="11" t="n"/>
    </row>
    <row r="29">
      <c r="A29" s="7" t="n"/>
      <c r="B29" s="8" t="n"/>
      <c r="C29" s="8" t="n"/>
      <c r="D29" s="8" t="n"/>
      <c r="E29" s="8" t="n">
        <v>4</v>
      </c>
      <c r="F29" s="8" t="n">
        <v>0</v>
      </c>
      <c r="G29" s="9" t="n"/>
      <c r="H29" s="10" t="n"/>
      <c r="I29" s="11" t="n"/>
    </row>
    <row r="30">
      <c r="A30" s="7" t="n"/>
      <c r="B30" s="8" t="n"/>
      <c r="C30" s="8" t="n"/>
      <c r="D30" s="8" t="n"/>
      <c r="E30" s="8" t="n">
        <v>3</v>
      </c>
      <c r="F30" s="8" t="n">
        <v>0</v>
      </c>
      <c r="G30" s="9" t="n"/>
      <c r="H30" s="10" t="n"/>
      <c r="I30" s="11" t="n"/>
    </row>
    <row r="31">
      <c r="A31" s="7" t="n"/>
      <c r="B31" s="8" t="n"/>
      <c r="C31" s="8" t="n"/>
      <c r="D31" s="8" t="n"/>
      <c r="E31" s="8" t="n">
        <v>2</v>
      </c>
      <c r="F31" s="8" t="n">
        <v>0</v>
      </c>
      <c r="G31" s="9" t="n"/>
      <c r="H31" s="10" t="n"/>
      <c r="I31" s="11" t="n"/>
    </row>
    <row r="32">
      <c r="A32" s="7" t="n"/>
      <c r="B32" s="8" t="n"/>
      <c r="C32" s="8" t="n"/>
      <c r="D32" s="8" t="n"/>
      <c r="E32" s="8" t="n">
        <v>1</v>
      </c>
      <c r="F32" s="8" t="n">
        <v>0</v>
      </c>
      <c r="G32" s="9" t="n"/>
      <c r="H32" s="10" t="n"/>
      <c r="I32" s="11" t="n"/>
    </row>
    <row r="33">
      <c r="A33" s="15" t="n"/>
      <c r="B33" s="16" t="n"/>
      <c r="C33" s="16" t="n"/>
      <c r="D33" s="16" t="n"/>
      <c r="E33" s="16" t="n">
        <v>0</v>
      </c>
      <c r="F33" s="16" t="n">
        <v>0</v>
      </c>
      <c r="G33" s="32" t="inlineStr">
        <is>
          <t>transfer_start</t>
        </is>
      </c>
      <c r="H33" s="33" t="inlineStr">
        <is>
          <t>W1S</t>
        </is>
      </c>
      <c r="I33" s="34" t="inlineStr">
        <is>
          <t>写1 开始传输，完成时自动清0</t>
        </is>
      </c>
    </row>
    <row r="34">
      <c r="A34" s="20" t="inlineStr">
        <is>
          <t>DMA_TRANSFER_BYTES</t>
        </is>
      </c>
      <c r="B34" s="21" t="str">
        <f>DEC2HEX(260,4)&amp;"h"</f>
        <v>0104h</v>
      </c>
      <c r="C34" s="21" t="str">
        <f>LEFT(D34,2)&amp;LEFT(D42,2)&amp;LEFT(D50,2)&amp;LEFT(D58,2)&amp;"h"</f>
        <v>00000000h</v>
      </c>
      <c r="D34" s="21" t="str">
        <f>DEC2HEX(128*F34+64*F35+32*F36+16*F37+8*F38+4*F39+2*F40+1*F41,2)&amp;"h"</f>
        <v>00h</v>
      </c>
      <c r="E34" s="21" t="n">
        <v>31</v>
      </c>
      <c r="F34" s="21" t="n">
        <v>0</v>
      </c>
      <c r="G34" s="35" t="inlineStr">
        <is>
          <t>transfer_bytes</t>
        </is>
      </c>
      <c r="H34" s="36" t="inlineStr">
        <is>
          <t>RW</t>
        </is>
      </c>
      <c r="I34" s="37" t="inlineStr">
        <is>
          <t>传输 bytes 数量</t>
        </is>
      </c>
    </row>
    <row r="35">
      <c r="A35" s="22" t="n"/>
      <c r="B35" s="23" t="n"/>
      <c r="C35" s="23" t="n"/>
      <c r="D35" s="23" t="n"/>
      <c r="E35" s="23" t="n">
        <v>30</v>
      </c>
      <c r="F35" s="23" t="n">
        <v>0</v>
      </c>
      <c r="G35" s="12" t="n"/>
      <c r="H35" s="13" t="n"/>
      <c r="I35" s="14" t="n"/>
    </row>
    <row r="36">
      <c r="A36" s="22" t="n"/>
      <c r="B36" s="23" t="n"/>
      <c r="C36" s="23" t="n"/>
      <c r="D36" s="23" t="n"/>
      <c r="E36" s="23" t="n">
        <v>29</v>
      </c>
      <c r="F36" s="23" t="n">
        <v>0</v>
      </c>
      <c r="G36" s="12" t="n"/>
      <c r="H36" s="13" t="n"/>
      <c r="I36" s="14" t="n"/>
    </row>
    <row r="37">
      <c r="A37" s="22" t="n"/>
      <c r="B37" s="23" t="n"/>
      <c r="C37" s="23" t="n"/>
      <c r="D37" s="23" t="n"/>
      <c r="E37" s="23" t="n">
        <v>28</v>
      </c>
      <c r="F37" s="23" t="n">
        <v>0</v>
      </c>
      <c r="G37" s="12" t="n"/>
      <c r="H37" s="13" t="n"/>
      <c r="I37" s="14" t="n"/>
    </row>
    <row r="38">
      <c r="A38" s="22" t="n"/>
      <c r="B38" s="23" t="n"/>
      <c r="C38" s="23" t="n"/>
      <c r="D38" s="23" t="n"/>
      <c r="E38" s="23" t="n">
        <v>27</v>
      </c>
      <c r="F38" s="23" t="n">
        <v>0</v>
      </c>
      <c r="G38" s="12" t="n"/>
      <c r="H38" s="13" t="n"/>
      <c r="I38" s="14" t="n"/>
    </row>
    <row r="39">
      <c r="A39" s="22" t="n"/>
      <c r="B39" s="23" t="n"/>
      <c r="C39" s="23" t="n"/>
      <c r="D39" s="23" t="n"/>
      <c r="E39" s="23" t="n">
        <v>26</v>
      </c>
      <c r="F39" s="23" t="n">
        <v>0</v>
      </c>
      <c r="G39" s="12" t="n"/>
      <c r="H39" s="13" t="n"/>
      <c r="I39" s="14" t="n"/>
    </row>
    <row r="40">
      <c r="A40" s="22" t="n"/>
      <c r="B40" s="23" t="n"/>
      <c r="C40" s="23" t="n"/>
      <c r="D40" s="23" t="n"/>
      <c r="E40" s="23" t="n">
        <v>25</v>
      </c>
      <c r="F40" s="23" t="n">
        <v>0</v>
      </c>
      <c r="G40" s="12" t="n"/>
      <c r="H40" s="13" t="n"/>
      <c r="I40" s="14" t="n"/>
    </row>
    <row r="41">
      <c r="A41" s="22" t="n"/>
      <c r="B41" s="23" t="n"/>
      <c r="C41" s="23" t="n"/>
      <c r="D41" s="23" t="n"/>
      <c r="E41" s="23" t="n">
        <v>24</v>
      </c>
      <c r="F41" s="23" t="n">
        <v>0</v>
      </c>
      <c r="G41" s="12" t="n"/>
      <c r="H41" s="13" t="n"/>
      <c r="I41" s="14" t="n"/>
    </row>
    <row r="42">
      <c r="A42" s="22" t="n"/>
      <c r="B42" s="23" t="n"/>
      <c r="C42" s="23" t="n"/>
      <c r="D42" s="23" t="str">
        <f>DEC2HEX(128*F42+64*F43+32*F44+16*F45+8*F46+4*F47+2*F48+1*F49,2)&amp;"h"</f>
        <v>00h</v>
      </c>
      <c r="E42" s="23" t="n">
        <v>23</v>
      </c>
      <c r="F42" s="23" t="n">
        <v>0</v>
      </c>
      <c r="G42" s="12" t="n"/>
      <c r="H42" s="13" t="n"/>
      <c r="I42" s="14" t="n"/>
    </row>
    <row r="43">
      <c r="A43" s="22" t="n"/>
      <c r="B43" s="23" t="n"/>
      <c r="C43" s="23" t="n"/>
      <c r="D43" s="23" t="n"/>
      <c r="E43" s="23" t="n">
        <v>22</v>
      </c>
      <c r="F43" s="23" t="n">
        <v>0</v>
      </c>
      <c r="G43" s="12" t="n"/>
      <c r="H43" s="13" t="n"/>
      <c r="I43" s="14" t="n"/>
    </row>
    <row r="44">
      <c r="A44" s="22" t="n"/>
      <c r="B44" s="23" t="n"/>
      <c r="C44" s="23" t="n"/>
      <c r="D44" s="23" t="n"/>
      <c r="E44" s="23" t="n">
        <v>21</v>
      </c>
      <c r="F44" s="23" t="n">
        <v>0</v>
      </c>
      <c r="G44" s="12" t="n"/>
      <c r="H44" s="13" t="n"/>
      <c r="I44" s="14" t="n"/>
    </row>
    <row r="45">
      <c r="A45" s="22" t="n"/>
      <c r="B45" s="23" t="n"/>
      <c r="C45" s="23" t="n"/>
      <c r="D45" s="23" t="n"/>
      <c r="E45" s="23" t="n">
        <v>20</v>
      </c>
      <c r="F45" s="23" t="n">
        <v>0</v>
      </c>
      <c r="G45" s="12" t="n"/>
      <c r="H45" s="13" t="n"/>
      <c r="I45" s="14" t="n"/>
    </row>
    <row r="46">
      <c r="A46" s="22" t="n"/>
      <c r="B46" s="23" t="n"/>
      <c r="C46" s="23" t="n"/>
      <c r="D46" s="23" t="n"/>
      <c r="E46" s="23" t="n">
        <v>19</v>
      </c>
      <c r="F46" s="23" t="n">
        <v>0</v>
      </c>
      <c r="G46" s="12" t="n"/>
      <c r="H46" s="13" t="n"/>
      <c r="I46" s="14" t="n"/>
    </row>
    <row r="47">
      <c r="A47" s="22" t="n"/>
      <c r="B47" s="23" t="n"/>
      <c r="C47" s="23" t="n"/>
      <c r="D47" s="23" t="n"/>
      <c r="E47" s="23" t="n">
        <v>18</v>
      </c>
      <c r="F47" s="23" t="n">
        <v>0</v>
      </c>
      <c r="G47" s="12" t="n"/>
      <c r="H47" s="13" t="n"/>
      <c r="I47" s="14" t="n"/>
    </row>
    <row r="48">
      <c r="A48" s="22" t="n"/>
      <c r="B48" s="23" t="n"/>
      <c r="C48" s="23" t="n"/>
      <c r="D48" s="23" t="n"/>
      <c r="E48" s="23" t="n">
        <v>17</v>
      </c>
      <c r="F48" s="23" t="n">
        <v>0</v>
      </c>
      <c r="G48" s="12" t="n"/>
      <c r="H48" s="13" t="n"/>
      <c r="I48" s="14" t="n"/>
    </row>
    <row r="49">
      <c r="A49" s="22" t="n"/>
      <c r="B49" s="23" t="n"/>
      <c r="C49" s="23" t="n"/>
      <c r="D49" s="23" t="n"/>
      <c r="E49" s="23" t="n">
        <v>16</v>
      </c>
      <c r="F49" s="23" t="n">
        <v>0</v>
      </c>
      <c r="G49" s="12" t="n"/>
      <c r="H49" s="13" t="n"/>
      <c r="I49" s="14" t="n"/>
    </row>
    <row r="50">
      <c r="A50" s="22" t="n"/>
      <c r="B50" s="23" t="n"/>
      <c r="C50" s="23" t="n"/>
      <c r="D50" s="23" t="str">
        <f>DEC2HEX(128*F50+64*F51+32*F52+16*F53+8*F54+4*F55+2*F56+1*F57,2)&amp;"h"</f>
        <v>00h</v>
      </c>
      <c r="E50" s="23" t="n">
        <v>15</v>
      </c>
      <c r="F50" s="23" t="n">
        <v>0</v>
      </c>
      <c r="G50" s="12" t="n"/>
      <c r="H50" s="13" t="n"/>
      <c r="I50" s="14" t="n"/>
    </row>
    <row r="51">
      <c r="A51" s="22" t="n"/>
      <c r="B51" s="23" t="n"/>
      <c r="C51" s="23" t="n"/>
      <c r="D51" s="23" t="n"/>
      <c r="E51" s="23" t="n">
        <v>14</v>
      </c>
      <c r="F51" s="23" t="n">
        <v>0</v>
      </c>
      <c r="G51" s="12" t="n"/>
      <c r="H51" s="13" t="n"/>
      <c r="I51" s="14" t="n"/>
    </row>
    <row r="52">
      <c r="A52" s="22" t="n"/>
      <c r="B52" s="23" t="n"/>
      <c r="C52" s="23" t="n"/>
      <c r="D52" s="23" t="n"/>
      <c r="E52" s="23" t="n">
        <v>13</v>
      </c>
      <c r="F52" s="23" t="n">
        <v>0</v>
      </c>
      <c r="G52" s="12" t="n"/>
      <c r="H52" s="13" t="n"/>
      <c r="I52" s="14" t="n"/>
    </row>
    <row r="53">
      <c r="A53" s="22" t="n"/>
      <c r="B53" s="23" t="n"/>
      <c r="C53" s="23" t="n"/>
      <c r="D53" s="23" t="n"/>
      <c r="E53" s="23" t="n">
        <v>12</v>
      </c>
      <c r="F53" s="23" t="n">
        <v>0</v>
      </c>
      <c r="G53" s="12" t="n"/>
      <c r="H53" s="13" t="n"/>
      <c r="I53" s="14" t="n"/>
    </row>
    <row r="54">
      <c r="A54" s="22" t="n"/>
      <c r="B54" s="23" t="n"/>
      <c r="C54" s="23" t="n"/>
      <c r="D54" s="23" t="n"/>
      <c r="E54" s="23" t="n">
        <v>11</v>
      </c>
      <c r="F54" s="23" t="n">
        <v>0</v>
      </c>
      <c r="G54" s="12" t="n"/>
      <c r="H54" s="13" t="n"/>
      <c r="I54" s="14" t="n"/>
    </row>
    <row r="55">
      <c r="A55" s="22" t="n"/>
      <c r="B55" s="23" t="n"/>
      <c r="C55" s="23" t="n"/>
      <c r="D55" s="23" t="n"/>
      <c r="E55" s="23" t="n">
        <v>10</v>
      </c>
      <c r="F55" s="23" t="n">
        <v>0</v>
      </c>
      <c r="G55" s="12" t="n"/>
      <c r="H55" s="13" t="n"/>
      <c r="I55" s="14" t="n"/>
    </row>
    <row r="56">
      <c r="A56" s="22" t="n"/>
      <c r="B56" s="23" t="n"/>
      <c r="C56" s="23" t="n"/>
      <c r="D56" s="23" t="n"/>
      <c r="E56" s="23" t="n">
        <v>9</v>
      </c>
      <c r="F56" s="23" t="n">
        <v>0</v>
      </c>
      <c r="G56" s="12" t="n"/>
      <c r="H56" s="13" t="n"/>
      <c r="I56" s="14" t="n"/>
    </row>
    <row r="57">
      <c r="A57" s="22" t="n"/>
      <c r="B57" s="23" t="n"/>
      <c r="C57" s="23" t="n"/>
      <c r="D57" s="23" t="n"/>
      <c r="E57" s="23" t="n">
        <v>8</v>
      </c>
      <c r="F57" s="23" t="n">
        <v>0</v>
      </c>
      <c r="G57" s="12" t="n"/>
      <c r="H57" s="13" t="n"/>
      <c r="I57" s="14" t="n"/>
    </row>
    <row r="58">
      <c r="A58" s="22" t="n"/>
      <c r="B58" s="23" t="n"/>
      <c r="C58" s="23" t="n"/>
      <c r="D58" s="23" t="str">
        <f>DEC2HEX(128*F58+64*F59+32*F60+16*F61+8*F62+4*F63+2*F64+1*F65,2)&amp;"h"</f>
        <v>00h</v>
      </c>
      <c r="E58" s="23" t="n">
        <v>7</v>
      </c>
      <c r="F58" s="23" t="n">
        <v>0</v>
      </c>
      <c r="G58" s="12" t="n"/>
      <c r="H58" s="13" t="n"/>
      <c r="I58" s="14" t="n"/>
    </row>
    <row r="59">
      <c r="A59" s="22" t="n"/>
      <c r="B59" s="23" t="n"/>
      <c r="C59" s="23" t="n"/>
      <c r="D59" s="23" t="n"/>
      <c r="E59" s="23" t="n">
        <v>6</v>
      </c>
      <c r="F59" s="23" t="n">
        <v>0</v>
      </c>
      <c r="G59" s="12" t="n"/>
      <c r="H59" s="13" t="n"/>
      <c r="I59" s="14" t="n"/>
    </row>
    <row r="60">
      <c r="A60" s="22" t="n"/>
      <c r="B60" s="23" t="n"/>
      <c r="C60" s="23" t="n"/>
      <c r="D60" s="23" t="n"/>
      <c r="E60" s="23" t="n">
        <v>5</v>
      </c>
      <c r="F60" s="23" t="n">
        <v>0</v>
      </c>
      <c r="G60" s="12" t="n"/>
      <c r="H60" s="13" t="n"/>
      <c r="I60" s="14" t="n"/>
    </row>
    <row r="61">
      <c r="A61" s="22" t="n"/>
      <c r="B61" s="23" t="n"/>
      <c r="C61" s="23" t="n"/>
      <c r="D61" s="23" t="n"/>
      <c r="E61" s="23" t="n">
        <v>4</v>
      </c>
      <c r="F61" s="23" t="n">
        <v>0</v>
      </c>
      <c r="G61" s="12" t="n"/>
      <c r="H61" s="13" t="n"/>
      <c r="I61" s="14" t="n"/>
    </row>
    <row r="62">
      <c r="A62" s="22" t="n"/>
      <c r="B62" s="23" t="n"/>
      <c r="C62" s="23" t="n"/>
      <c r="D62" s="23" t="n"/>
      <c r="E62" s="23" t="n">
        <v>3</v>
      </c>
      <c r="F62" s="23" t="n">
        <v>0</v>
      </c>
      <c r="G62" s="12" t="n"/>
      <c r="H62" s="13" t="n"/>
      <c r="I62" s="14" t="n"/>
    </row>
    <row r="63">
      <c r="A63" s="22" t="n"/>
      <c r="B63" s="23" t="n"/>
      <c r="C63" s="23" t="n"/>
      <c r="D63" s="23" t="n"/>
      <c r="E63" s="23" t="n">
        <v>2</v>
      </c>
      <c r="F63" s="23" t="n">
        <v>0</v>
      </c>
      <c r="G63" s="12" t="n"/>
      <c r="H63" s="13" t="n"/>
      <c r="I63" s="14" t="n"/>
    </row>
    <row r="64">
      <c r="A64" s="22" t="n"/>
      <c r="B64" s="23" t="n"/>
      <c r="C64" s="23" t="n"/>
      <c r="D64" s="23" t="n"/>
      <c r="E64" s="23" t="n">
        <v>1</v>
      </c>
      <c r="F64" s="23" t="n">
        <v>0</v>
      </c>
      <c r="G64" s="12" t="n"/>
      <c r="H64" s="13" t="n"/>
      <c r="I64" s="14" t="n"/>
    </row>
    <row r="65">
      <c r="A65" s="24" t="n"/>
      <c r="B65" s="25" t="n"/>
      <c r="C65" s="25" t="n"/>
      <c r="D65" s="25" t="n"/>
      <c r="E65" s="25" t="n">
        <v>0</v>
      </c>
      <c r="F65" s="25" t="n">
        <v>0</v>
      </c>
      <c r="G65" s="17" t="n"/>
      <c r="H65" s="18" t="n"/>
      <c r="I65" s="19" t="n"/>
    </row>
    <row r="66">
      <c r="A66" s="2" t="inlineStr">
        <is>
          <t>DMA_CH1_MM</t>
        </is>
      </c>
      <c r="B66" s="3" t="str">
        <f>DEC2HEX(264,4)&amp;"h"</f>
        <v>0108h</v>
      </c>
      <c r="C66" s="3" t="str">
        <f>LEFT(D66,2)&amp;LEFT(D74,2)&amp;LEFT(D82,2)&amp;LEFT(D90,2)&amp;"h"</f>
        <v>00000000h</v>
      </c>
      <c r="D66" s="3" t="str">
        <f>DEC2HEX(128*F66+64*F67+32*F68+16*F69+8*F70+4*F71+2*F72+1*F73,2)&amp;"h"</f>
        <v>00h</v>
      </c>
      <c r="E66" s="3" t="n">
        <v>31</v>
      </c>
      <c r="F66" s="3" t="n">
        <v>0</v>
      </c>
      <c r="G66" s="35" t="inlineStr">
        <is>
          <t>ch1_mm_address</t>
        </is>
      </c>
      <c r="H66" s="36" t="inlineStr">
        <is>
          <t>RW</t>
        </is>
      </c>
      <c r="I66" s="37" t="inlineStr">
        <is>
          <t>通道1基地址，
当使用交织模式时，通道 12 同时使用该地址</t>
        </is>
      </c>
    </row>
    <row r="67">
      <c r="A67" s="7" t="n"/>
      <c r="B67" s="8" t="n"/>
      <c r="C67" s="8" t="n"/>
      <c r="D67" s="8" t="n"/>
      <c r="E67" s="8" t="n">
        <v>30</v>
      </c>
      <c r="F67" s="8" t="n">
        <v>0</v>
      </c>
      <c r="G67" s="12" t="n"/>
      <c r="H67" s="13" t="n"/>
      <c r="I67" s="14" t="n"/>
    </row>
    <row r="68">
      <c r="A68" s="7" t="n"/>
      <c r="B68" s="8" t="n"/>
      <c r="C68" s="8" t="n"/>
      <c r="D68" s="8" t="n"/>
      <c r="E68" s="8" t="n">
        <v>29</v>
      </c>
      <c r="F68" s="8" t="n">
        <v>0</v>
      </c>
      <c r="G68" s="12" t="n"/>
      <c r="H68" s="13" t="n"/>
      <c r="I68" s="14" t="n"/>
    </row>
    <row r="69">
      <c r="A69" s="7" t="n"/>
      <c r="B69" s="8" t="n"/>
      <c r="C69" s="8" t="n"/>
      <c r="D69" s="8" t="n"/>
      <c r="E69" s="8" t="n">
        <v>28</v>
      </c>
      <c r="F69" s="8" t="n">
        <v>0</v>
      </c>
      <c r="G69" s="12" t="n"/>
      <c r="H69" s="13" t="n"/>
      <c r="I69" s="14" t="n"/>
    </row>
    <row r="70">
      <c r="A70" s="7" t="n"/>
      <c r="B70" s="8" t="n"/>
      <c r="C70" s="8" t="n"/>
      <c r="D70" s="8" t="n"/>
      <c r="E70" s="8" t="n">
        <v>27</v>
      </c>
      <c r="F70" s="8" t="n">
        <v>0</v>
      </c>
      <c r="G70" s="12" t="n"/>
      <c r="H70" s="13" t="n"/>
      <c r="I70" s="14" t="n"/>
    </row>
    <row r="71">
      <c r="A71" s="7" t="n"/>
      <c r="B71" s="8" t="n"/>
      <c r="C71" s="8" t="n"/>
      <c r="D71" s="8" t="n"/>
      <c r="E71" s="8" t="n">
        <v>26</v>
      </c>
      <c r="F71" s="8" t="n">
        <v>0</v>
      </c>
      <c r="G71" s="12" t="n"/>
      <c r="H71" s="13" t="n"/>
      <c r="I71" s="14" t="n"/>
    </row>
    <row r="72">
      <c r="A72" s="7" t="n"/>
      <c r="B72" s="8" t="n"/>
      <c r="C72" s="8" t="n"/>
      <c r="D72" s="8" t="n"/>
      <c r="E72" s="8" t="n">
        <v>25</v>
      </c>
      <c r="F72" s="8" t="n">
        <v>0</v>
      </c>
      <c r="G72" s="12" t="n"/>
      <c r="H72" s="13" t="n"/>
      <c r="I72" s="14" t="n"/>
    </row>
    <row r="73">
      <c r="A73" s="7" t="n"/>
      <c r="B73" s="8" t="n"/>
      <c r="C73" s="8" t="n"/>
      <c r="D73" s="8" t="n"/>
      <c r="E73" s="8" t="n">
        <v>24</v>
      </c>
      <c r="F73" s="8" t="n">
        <v>0</v>
      </c>
      <c r="G73" s="12" t="n"/>
      <c r="H73" s="13" t="n"/>
      <c r="I73" s="14" t="n"/>
    </row>
    <row r="74">
      <c r="A74" s="7" t="n"/>
      <c r="B74" s="8" t="n"/>
      <c r="C74" s="8" t="n"/>
      <c r="D74" s="8" t="str">
        <f>DEC2HEX(128*F74+64*F75+32*F76+16*F77+8*F78+4*F79+2*F80+1*F81,2)&amp;"h"</f>
        <v>00h</v>
      </c>
      <c r="E74" s="8" t="n">
        <v>23</v>
      </c>
      <c r="F74" s="8" t="n">
        <v>0</v>
      </c>
      <c r="G74" s="12" t="n"/>
      <c r="H74" s="13" t="n"/>
      <c r="I74" s="14" t="n"/>
    </row>
    <row r="75">
      <c r="A75" s="7" t="n"/>
      <c r="B75" s="8" t="n"/>
      <c r="C75" s="8" t="n"/>
      <c r="D75" s="8" t="n"/>
      <c r="E75" s="8" t="n">
        <v>22</v>
      </c>
      <c r="F75" s="8" t="n">
        <v>0</v>
      </c>
      <c r="G75" s="12" t="n"/>
      <c r="H75" s="13" t="n"/>
      <c r="I75" s="14" t="n"/>
    </row>
    <row r="76">
      <c r="A76" s="7" t="n"/>
      <c r="B76" s="8" t="n"/>
      <c r="C76" s="8" t="n"/>
      <c r="D76" s="8" t="n"/>
      <c r="E76" s="8" t="n">
        <v>21</v>
      </c>
      <c r="F76" s="8" t="n">
        <v>0</v>
      </c>
      <c r="G76" s="12" t="n"/>
      <c r="H76" s="13" t="n"/>
      <c r="I76" s="14" t="n"/>
    </row>
    <row r="77">
      <c r="A77" s="7" t="n"/>
      <c r="B77" s="8" t="n"/>
      <c r="C77" s="8" t="n"/>
      <c r="D77" s="8" t="n"/>
      <c r="E77" s="8" t="n">
        <v>20</v>
      </c>
      <c r="F77" s="8" t="n">
        <v>0</v>
      </c>
      <c r="G77" s="12" t="n"/>
      <c r="H77" s="13" t="n"/>
      <c r="I77" s="14" t="n"/>
    </row>
    <row r="78">
      <c r="A78" s="7" t="n"/>
      <c r="B78" s="8" t="n"/>
      <c r="C78" s="8" t="n"/>
      <c r="D78" s="8" t="n"/>
      <c r="E78" s="8" t="n">
        <v>19</v>
      </c>
      <c r="F78" s="8" t="n">
        <v>0</v>
      </c>
      <c r="G78" s="12" t="n"/>
      <c r="H78" s="13" t="n"/>
      <c r="I78" s="14" t="n"/>
    </row>
    <row r="79">
      <c r="A79" s="7" t="n"/>
      <c r="B79" s="8" t="n"/>
      <c r="C79" s="8" t="n"/>
      <c r="D79" s="8" t="n"/>
      <c r="E79" s="8" t="n">
        <v>18</v>
      </c>
      <c r="F79" s="8" t="n">
        <v>0</v>
      </c>
      <c r="G79" s="12" t="n"/>
      <c r="H79" s="13" t="n"/>
      <c r="I79" s="14" t="n"/>
    </row>
    <row r="80">
      <c r="A80" s="7" t="n"/>
      <c r="B80" s="8" t="n"/>
      <c r="C80" s="8" t="n"/>
      <c r="D80" s="8" t="n"/>
      <c r="E80" s="8" t="n">
        <v>17</v>
      </c>
      <c r="F80" s="8" t="n">
        <v>0</v>
      </c>
      <c r="G80" s="12" t="n"/>
      <c r="H80" s="13" t="n"/>
      <c r="I80" s="14" t="n"/>
    </row>
    <row r="81">
      <c r="A81" s="7" t="n"/>
      <c r="B81" s="8" t="n"/>
      <c r="C81" s="8" t="n"/>
      <c r="D81" s="8" t="n"/>
      <c r="E81" s="8" t="n">
        <v>16</v>
      </c>
      <c r="F81" s="8" t="n">
        <v>0</v>
      </c>
      <c r="G81" s="12" t="n"/>
      <c r="H81" s="13" t="n"/>
      <c r="I81" s="14" t="n"/>
    </row>
    <row r="82">
      <c r="A82" s="7" t="n"/>
      <c r="B82" s="8" t="n"/>
      <c r="C82" s="8" t="n"/>
      <c r="D82" s="8" t="str">
        <f>DEC2HEX(128*F82+64*F83+32*F84+16*F85+8*F86+4*F87+2*F88+1*F89,2)&amp;"h"</f>
        <v>00h</v>
      </c>
      <c r="E82" s="8" t="n">
        <v>15</v>
      </c>
      <c r="F82" s="8" t="n">
        <v>0</v>
      </c>
      <c r="G82" s="12" t="n"/>
      <c r="H82" s="13" t="n"/>
      <c r="I82" s="14" t="n"/>
    </row>
    <row r="83">
      <c r="A83" s="7" t="n"/>
      <c r="B83" s="8" t="n"/>
      <c r="C83" s="8" t="n"/>
      <c r="D83" s="8" t="n"/>
      <c r="E83" s="8" t="n">
        <v>14</v>
      </c>
      <c r="F83" s="8" t="n">
        <v>0</v>
      </c>
      <c r="G83" s="12" t="n"/>
      <c r="H83" s="13" t="n"/>
      <c r="I83" s="14" t="n"/>
    </row>
    <row r="84">
      <c r="A84" s="7" t="n"/>
      <c r="B84" s="8" t="n"/>
      <c r="C84" s="8" t="n"/>
      <c r="D84" s="8" t="n"/>
      <c r="E84" s="8" t="n">
        <v>13</v>
      </c>
      <c r="F84" s="8" t="n">
        <v>0</v>
      </c>
      <c r="G84" s="12" t="n"/>
      <c r="H84" s="13" t="n"/>
      <c r="I84" s="14" t="n"/>
    </row>
    <row r="85">
      <c r="A85" s="7" t="n"/>
      <c r="B85" s="8" t="n"/>
      <c r="C85" s="8" t="n"/>
      <c r="D85" s="8" t="n"/>
      <c r="E85" s="8" t="n">
        <v>12</v>
      </c>
      <c r="F85" s="8" t="n">
        <v>0</v>
      </c>
      <c r="G85" s="12" t="n"/>
      <c r="H85" s="13" t="n"/>
      <c r="I85" s="14" t="n"/>
    </row>
    <row r="86">
      <c r="A86" s="7" t="n"/>
      <c r="B86" s="8" t="n"/>
      <c r="C86" s="8" t="n"/>
      <c r="D86" s="8" t="n"/>
      <c r="E86" s="8" t="n">
        <v>11</v>
      </c>
      <c r="F86" s="8" t="n">
        <v>0</v>
      </c>
      <c r="G86" s="12" t="n"/>
      <c r="H86" s="13" t="n"/>
      <c r="I86" s="14" t="n"/>
    </row>
    <row r="87">
      <c r="A87" s="7" t="n"/>
      <c r="B87" s="8" t="n"/>
      <c r="C87" s="8" t="n"/>
      <c r="D87" s="8" t="n"/>
      <c r="E87" s="8" t="n">
        <v>10</v>
      </c>
      <c r="F87" s="8" t="n">
        <v>0</v>
      </c>
      <c r="G87" s="12" t="n"/>
      <c r="H87" s="13" t="n"/>
      <c r="I87" s="14" t="n"/>
    </row>
    <row r="88">
      <c r="A88" s="7" t="n"/>
      <c r="B88" s="8" t="n"/>
      <c r="C88" s="8" t="n"/>
      <c r="D88" s="8" t="n"/>
      <c r="E88" s="8" t="n">
        <v>9</v>
      </c>
      <c r="F88" s="8" t="n">
        <v>0</v>
      </c>
      <c r="G88" s="12" t="n"/>
      <c r="H88" s="13" t="n"/>
      <c r="I88" s="14" t="n"/>
    </row>
    <row r="89">
      <c r="A89" s="7" t="n"/>
      <c r="B89" s="8" t="n"/>
      <c r="C89" s="8" t="n"/>
      <c r="D89" s="8" t="n"/>
      <c r="E89" s="8" t="n">
        <v>8</v>
      </c>
      <c r="F89" s="8" t="n">
        <v>0</v>
      </c>
      <c r="G89" s="12" t="n"/>
      <c r="H89" s="13" t="n"/>
      <c r="I89" s="14" t="n"/>
    </row>
    <row r="90">
      <c r="A90" s="7" t="n"/>
      <c r="B90" s="8" t="n"/>
      <c r="C90" s="8" t="n"/>
      <c r="D90" s="8" t="str">
        <f>DEC2HEX(128*F90+64*F91+32*F92+16*F93+8*F94+4*F95+2*F96+1*F97,2)&amp;"h"</f>
        <v>00h</v>
      </c>
      <c r="E90" s="8" t="n">
        <v>7</v>
      </c>
      <c r="F90" s="8" t="n">
        <v>0</v>
      </c>
      <c r="G90" s="12" t="n"/>
      <c r="H90" s="13" t="n"/>
      <c r="I90" s="14" t="n"/>
    </row>
    <row r="91">
      <c r="A91" s="7" t="n"/>
      <c r="B91" s="8" t="n"/>
      <c r="C91" s="8" t="n"/>
      <c r="D91" s="8" t="n"/>
      <c r="E91" s="8" t="n">
        <v>6</v>
      </c>
      <c r="F91" s="8" t="n">
        <v>0</v>
      </c>
      <c r="G91" s="12" t="n"/>
      <c r="H91" s="13" t="n"/>
      <c r="I91" s="14" t="n"/>
    </row>
    <row r="92">
      <c r="A92" s="7" t="n"/>
      <c r="B92" s="8" t="n"/>
      <c r="C92" s="8" t="n"/>
      <c r="D92" s="8" t="n"/>
      <c r="E92" s="8" t="n">
        <v>5</v>
      </c>
      <c r="F92" s="8" t="n">
        <v>0</v>
      </c>
      <c r="G92" s="12" t="n"/>
      <c r="H92" s="13" t="n"/>
      <c r="I92" s="14" t="n"/>
    </row>
    <row r="93">
      <c r="A93" s="7" t="n"/>
      <c r="B93" s="8" t="n"/>
      <c r="C93" s="8" t="n"/>
      <c r="D93" s="8" t="n"/>
      <c r="E93" s="8" t="n">
        <v>4</v>
      </c>
      <c r="F93" s="8" t="n">
        <v>0</v>
      </c>
      <c r="G93" s="12" t="n"/>
      <c r="H93" s="13" t="n"/>
      <c r="I93" s="14" t="n"/>
    </row>
    <row r="94">
      <c r="A94" s="7" t="n"/>
      <c r="B94" s="8" t="n"/>
      <c r="C94" s="8" t="n"/>
      <c r="D94" s="8" t="n"/>
      <c r="E94" s="8" t="n">
        <v>3</v>
      </c>
      <c r="F94" s="8" t="n">
        <v>0</v>
      </c>
      <c r="G94" s="12" t="n"/>
      <c r="H94" s="13" t="n"/>
      <c r="I94" s="14" t="n"/>
    </row>
    <row r="95">
      <c r="A95" s="7" t="n"/>
      <c r="B95" s="8" t="n"/>
      <c r="C95" s="8" t="n"/>
      <c r="D95" s="8" t="n"/>
      <c r="E95" s="8" t="n">
        <v>2</v>
      </c>
      <c r="F95" s="8" t="n">
        <v>0</v>
      </c>
      <c r="G95" s="12" t="n"/>
      <c r="H95" s="13" t="n"/>
      <c r="I95" s="14" t="n"/>
    </row>
    <row r="96">
      <c r="A96" s="7" t="n"/>
      <c r="B96" s="8" t="n"/>
      <c r="C96" s="8" t="n"/>
      <c r="D96" s="8" t="n"/>
      <c r="E96" s="8" t="n">
        <v>1</v>
      </c>
      <c r="F96" s="8" t="n">
        <v>0</v>
      </c>
      <c r="G96" s="12" t="n"/>
      <c r="H96" s="13" t="n"/>
      <c r="I96" s="14" t="n"/>
    </row>
    <row r="97">
      <c r="A97" s="15" t="n"/>
      <c r="B97" s="16" t="n"/>
      <c r="C97" s="16" t="n"/>
      <c r="D97" s="16" t="n"/>
      <c r="E97" s="16" t="n">
        <v>0</v>
      </c>
      <c r="F97" s="16" t="n">
        <v>0</v>
      </c>
      <c r="G97" s="17" t="n"/>
      <c r="H97" s="18" t="n"/>
      <c r="I97" s="19" t="n"/>
    </row>
    <row r="98">
      <c r="A98" s="20" t="inlineStr">
        <is>
          <t>DMA_CH2_MM</t>
        </is>
      </c>
      <c r="B98" s="21" t="str">
        <f>DEC2HEX(268,4)&amp;"h"</f>
        <v>010Ch</v>
      </c>
      <c r="C98" s="21" t="str">
        <f>LEFT(D98,2)&amp;LEFT(D106,2)&amp;LEFT(D114,2)&amp;LEFT(D122,2)&amp;"h"</f>
        <v>00000000h</v>
      </c>
      <c r="D98" s="21" t="str">
        <f>DEC2HEX(128*F98+64*F99+32*F100+16*F101+8*F102+4*F103+2*F104+1*F105,2)&amp;"h"</f>
        <v>00h</v>
      </c>
      <c r="E98" s="21" t="n">
        <v>31</v>
      </c>
      <c r="F98" s="21" t="n">
        <v>0</v>
      </c>
      <c r="G98" s="35" t="inlineStr">
        <is>
          <t>ch2_mm_address</t>
        </is>
      </c>
      <c r="H98" s="36" t="inlineStr">
        <is>
          <t>RW</t>
        </is>
      </c>
      <c r="I98" s="37" t="inlineStr">
        <is>
          <t>通道2基地址</t>
        </is>
      </c>
    </row>
    <row r="99">
      <c r="A99" s="22" t="n"/>
      <c r="B99" s="23" t="n"/>
      <c r="C99" s="23" t="n"/>
      <c r="D99" s="23" t="n"/>
      <c r="E99" s="23" t="n">
        <v>30</v>
      </c>
      <c r="F99" s="23" t="n">
        <v>0</v>
      </c>
      <c r="G99" s="12" t="n"/>
      <c r="H99" s="13" t="n"/>
      <c r="I99" s="14" t="n"/>
    </row>
    <row r="100">
      <c r="A100" s="22" t="n"/>
      <c r="B100" s="23" t="n"/>
      <c r="C100" s="23" t="n"/>
      <c r="D100" s="23" t="n"/>
      <c r="E100" s="23" t="n">
        <v>29</v>
      </c>
      <c r="F100" s="23" t="n">
        <v>0</v>
      </c>
      <c r="G100" s="12" t="n"/>
      <c r="H100" s="13" t="n"/>
      <c r="I100" s="14" t="n"/>
    </row>
    <row r="101">
      <c r="A101" s="22" t="n"/>
      <c r="B101" s="23" t="n"/>
      <c r="C101" s="23" t="n"/>
      <c r="D101" s="23" t="n"/>
      <c r="E101" s="23" t="n">
        <v>28</v>
      </c>
      <c r="F101" s="23" t="n">
        <v>0</v>
      </c>
      <c r="G101" s="12" t="n"/>
      <c r="H101" s="13" t="n"/>
      <c r="I101" s="14" t="n"/>
    </row>
    <row r="102">
      <c r="A102" s="22" t="n"/>
      <c r="B102" s="23" t="n"/>
      <c r="C102" s="23" t="n"/>
      <c r="D102" s="23" t="n"/>
      <c r="E102" s="23" t="n">
        <v>27</v>
      </c>
      <c r="F102" s="23" t="n">
        <v>0</v>
      </c>
      <c r="G102" s="12" t="n"/>
      <c r="H102" s="13" t="n"/>
      <c r="I102" s="14" t="n"/>
    </row>
    <row r="103">
      <c r="A103" s="22" t="n"/>
      <c r="B103" s="23" t="n"/>
      <c r="C103" s="23" t="n"/>
      <c r="D103" s="23" t="n"/>
      <c r="E103" s="23" t="n">
        <v>26</v>
      </c>
      <c r="F103" s="23" t="n">
        <v>0</v>
      </c>
      <c r="G103" s="12" t="n"/>
      <c r="H103" s="13" t="n"/>
      <c r="I103" s="14" t="n"/>
    </row>
    <row r="104">
      <c r="A104" s="22" t="n"/>
      <c r="B104" s="23" t="n"/>
      <c r="C104" s="23" t="n"/>
      <c r="D104" s="23" t="n"/>
      <c r="E104" s="23" t="n">
        <v>25</v>
      </c>
      <c r="F104" s="23" t="n">
        <v>0</v>
      </c>
      <c r="G104" s="12" t="n"/>
      <c r="H104" s="13" t="n"/>
      <c r="I104" s="14" t="n"/>
    </row>
    <row r="105">
      <c r="A105" s="22" t="n"/>
      <c r="B105" s="23" t="n"/>
      <c r="C105" s="23" t="n"/>
      <c r="D105" s="23" t="n"/>
      <c r="E105" s="23" t="n">
        <v>24</v>
      </c>
      <c r="F105" s="23" t="n">
        <v>0</v>
      </c>
      <c r="G105" s="12" t="n"/>
      <c r="H105" s="13" t="n"/>
      <c r="I105" s="14" t="n"/>
    </row>
    <row r="106">
      <c r="A106" s="22" t="n"/>
      <c r="B106" s="23" t="n"/>
      <c r="C106" s="23" t="n"/>
      <c r="D106" s="23" t="str">
        <f>DEC2HEX(128*F106+64*F107+32*F108+16*F109+8*F110+4*F111+2*F112+1*F113,2)&amp;"h"</f>
        <v>00h</v>
      </c>
      <c r="E106" s="23" t="n">
        <v>23</v>
      </c>
      <c r="F106" s="23" t="n">
        <v>0</v>
      </c>
      <c r="G106" s="12" t="n"/>
      <c r="H106" s="13" t="n"/>
      <c r="I106" s="14" t="n"/>
    </row>
    <row r="107">
      <c r="A107" s="22" t="n"/>
      <c r="B107" s="23" t="n"/>
      <c r="C107" s="23" t="n"/>
      <c r="D107" s="23" t="n"/>
      <c r="E107" s="23" t="n">
        <v>22</v>
      </c>
      <c r="F107" s="23" t="n">
        <v>0</v>
      </c>
      <c r="G107" s="12" t="n"/>
      <c r="H107" s="13" t="n"/>
      <c r="I107" s="14" t="n"/>
    </row>
    <row r="108">
      <c r="A108" s="22" t="n"/>
      <c r="B108" s="23" t="n"/>
      <c r="C108" s="23" t="n"/>
      <c r="D108" s="23" t="n"/>
      <c r="E108" s="23" t="n">
        <v>21</v>
      </c>
      <c r="F108" s="23" t="n">
        <v>0</v>
      </c>
      <c r="G108" s="12" t="n"/>
      <c r="H108" s="13" t="n"/>
      <c r="I108" s="14" t="n"/>
    </row>
    <row r="109">
      <c r="A109" s="22" t="n"/>
      <c r="B109" s="23" t="n"/>
      <c r="C109" s="23" t="n"/>
      <c r="D109" s="23" t="n"/>
      <c r="E109" s="23" t="n">
        <v>20</v>
      </c>
      <c r="F109" s="23" t="n">
        <v>0</v>
      </c>
      <c r="G109" s="12" t="n"/>
      <c r="H109" s="13" t="n"/>
      <c r="I109" s="14" t="n"/>
    </row>
    <row r="110">
      <c r="A110" s="22" t="n"/>
      <c r="B110" s="23" t="n"/>
      <c r="C110" s="23" t="n"/>
      <c r="D110" s="23" t="n"/>
      <c r="E110" s="23" t="n">
        <v>19</v>
      </c>
      <c r="F110" s="23" t="n">
        <v>0</v>
      </c>
      <c r="G110" s="12" t="n"/>
      <c r="H110" s="13" t="n"/>
      <c r="I110" s="14" t="n"/>
    </row>
    <row r="111">
      <c r="A111" s="22" t="n"/>
      <c r="B111" s="23" t="n"/>
      <c r="C111" s="23" t="n"/>
      <c r="D111" s="23" t="n"/>
      <c r="E111" s="23" t="n">
        <v>18</v>
      </c>
      <c r="F111" s="23" t="n">
        <v>0</v>
      </c>
      <c r="G111" s="12" t="n"/>
      <c r="H111" s="13" t="n"/>
      <c r="I111" s="14" t="n"/>
    </row>
    <row r="112">
      <c r="A112" s="22" t="n"/>
      <c r="B112" s="23" t="n"/>
      <c r="C112" s="23" t="n"/>
      <c r="D112" s="23" t="n"/>
      <c r="E112" s="23" t="n">
        <v>17</v>
      </c>
      <c r="F112" s="23" t="n">
        <v>0</v>
      </c>
      <c r="G112" s="12" t="n"/>
      <c r="H112" s="13" t="n"/>
      <c r="I112" s="14" t="n"/>
    </row>
    <row r="113">
      <c r="A113" s="22" t="n"/>
      <c r="B113" s="23" t="n"/>
      <c r="C113" s="23" t="n"/>
      <c r="D113" s="23" t="n"/>
      <c r="E113" s="23" t="n">
        <v>16</v>
      </c>
      <c r="F113" s="23" t="n">
        <v>0</v>
      </c>
      <c r="G113" s="12" t="n"/>
      <c r="H113" s="13" t="n"/>
      <c r="I113" s="14" t="n"/>
    </row>
    <row r="114">
      <c r="A114" s="22" t="n"/>
      <c r="B114" s="23" t="n"/>
      <c r="C114" s="23" t="n"/>
      <c r="D114" s="23" t="str">
        <f>DEC2HEX(128*F114+64*F115+32*F116+16*F117+8*F118+4*F119+2*F120+1*F121,2)&amp;"h"</f>
        <v>00h</v>
      </c>
      <c r="E114" s="23" t="n">
        <v>15</v>
      </c>
      <c r="F114" s="23" t="n">
        <v>0</v>
      </c>
      <c r="G114" s="12" t="n"/>
      <c r="H114" s="13" t="n"/>
      <c r="I114" s="14" t="n"/>
    </row>
    <row r="115">
      <c r="A115" s="22" t="n"/>
      <c r="B115" s="23" t="n"/>
      <c r="C115" s="23" t="n"/>
      <c r="D115" s="23" t="n"/>
      <c r="E115" s="23" t="n">
        <v>14</v>
      </c>
      <c r="F115" s="23" t="n">
        <v>0</v>
      </c>
      <c r="G115" s="12" t="n"/>
      <c r="H115" s="13" t="n"/>
      <c r="I115" s="14" t="n"/>
    </row>
    <row r="116">
      <c r="A116" s="22" t="n"/>
      <c r="B116" s="23" t="n"/>
      <c r="C116" s="23" t="n"/>
      <c r="D116" s="23" t="n"/>
      <c r="E116" s="23" t="n">
        <v>13</v>
      </c>
      <c r="F116" s="23" t="n">
        <v>0</v>
      </c>
      <c r="G116" s="12" t="n"/>
      <c r="H116" s="13" t="n"/>
      <c r="I116" s="14" t="n"/>
    </row>
    <row r="117">
      <c r="A117" s="22" t="n"/>
      <c r="B117" s="23" t="n"/>
      <c r="C117" s="23" t="n"/>
      <c r="D117" s="23" t="n"/>
      <c r="E117" s="23" t="n">
        <v>12</v>
      </c>
      <c r="F117" s="23" t="n">
        <v>0</v>
      </c>
      <c r="G117" s="12" t="n"/>
      <c r="H117" s="13" t="n"/>
      <c r="I117" s="14" t="n"/>
    </row>
    <row r="118">
      <c r="A118" s="22" t="n"/>
      <c r="B118" s="23" t="n"/>
      <c r="C118" s="23" t="n"/>
      <c r="D118" s="23" t="n"/>
      <c r="E118" s="23" t="n">
        <v>11</v>
      </c>
      <c r="F118" s="23" t="n">
        <v>0</v>
      </c>
      <c r="G118" s="12" t="n"/>
      <c r="H118" s="13" t="n"/>
      <c r="I118" s="14" t="n"/>
    </row>
    <row r="119">
      <c r="A119" s="22" t="n"/>
      <c r="B119" s="23" t="n"/>
      <c r="C119" s="23" t="n"/>
      <c r="D119" s="23" t="n"/>
      <c r="E119" s="23" t="n">
        <v>10</v>
      </c>
      <c r="F119" s="23" t="n">
        <v>0</v>
      </c>
      <c r="G119" s="12" t="n"/>
      <c r="H119" s="13" t="n"/>
      <c r="I119" s="14" t="n"/>
    </row>
    <row r="120">
      <c r="A120" s="22" t="n"/>
      <c r="B120" s="23" t="n"/>
      <c r="C120" s="23" t="n"/>
      <c r="D120" s="23" t="n"/>
      <c r="E120" s="23" t="n">
        <v>9</v>
      </c>
      <c r="F120" s="23" t="n">
        <v>0</v>
      </c>
      <c r="G120" s="12" t="n"/>
      <c r="H120" s="13" t="n"/>
      <c r="I120" s="14" t="n"/>
    </row>
    <row r="121">
      <c r="A121" s="22" t="n"/>
      <c r="B121" s="23" t="n"/>
      <c r="C121" s="23" t="n"/>
      <c r="D121" s="23" t="n"/>
      <c r="E121" s="23" t="n">
        <v>8</v>
      </c>
      <c r="F121" s="23" t="n">
        <v>0</v>
      </c>
      <c r="G121" s="12" t="n"/>
      <c r="H121" s="13" t="n"/>
      <c r="I121" s="14" t="n"/>
    </row>
    <row r="122">
      <c r="A122" s="22" t="n"/>
      <c r="B122" s="23" t="n"/>
      <c r="C122" s="23" t="n"/>
      <c r="D122" s="23" t="str">
        <f>DEC2HEX(128*F122+64*F123+32*F124+16*F125+8*F126+4*F127+2*F128+1*F129,2)&amp;"h"</f>
        <v>00h</v>
      </c>
      <c r="E122" s="23" t="n">
        <v>7</v>
      </c>
      <c r="F122" s="23" t="n">
        <v>0</v>
      </c>
      <c r="G122" s="12" t="n"/>
      <c r="H122" s="13" t="n"/>
      <c r="I122" s="14" t="n"/>
    </row>
    <row r="123">
      <c r="A123" s="22" t="n"/>
      <c r="B123" s="23" t="n"/>
      <c r="C123" s="23" t="n"/>
      <c r="D123" s="23" t="n"/>
      <c r="E123" s="23" t="n">
        <v>6</v>
      </c>
      <c r="F123" s="23" t="n">
        <v>0</v>
      </c>
      <c r="G123" s="12" t="n"/>
      <c r="H123" s="13" t="n"/>
      <c r="I123" s="14" t="n"/>
    </row>
    <row r="124">
      <c r="A124" s="22" t="n"/>
      <c r="B124" s="23" t="n"/>
      <c r="C124" s="23" t="n"/>
      <c r="D124" s="23" t="n"/>
      <c r="E124" s="23" t="n">
        <v>5</v>
      </c>
      <c r="F124" s="23" t="n">
        <v>0</v>
      </c>
      <c r="G124" s="12" t="n"/>
      <c r="H124" s="13" t="n"/>
      <c r="I124" s="14" t="n"/>
    </row>
    <row r="125">
      <c r="A125" s="22" t="n"/>
      <c r="B125" s="23" t="n"/>
      <c r="C125" s="23" t="n"/>
      <c r="D125" s="23" t="n"/>
      <c r="E125" s="23" t="n">
        <v>4</v>
      </c>
      <c r="F125" s="23" t="n">
        <v>0</v>
      </c>
      <c r="G125" s="12" t="n"/>
      <c r="H125" s="13" t="n"/>
      <c r="I125" s="14" t="n"/>
    </row>
    <row r="126">
      <c r="A126" s="22" t="n"/>
      <c r="B126" s="23" t="n"/>
      <c r="C126" s="23" t="n"/>
      <c r="D126" s="23" t="n"/>
      <c r="E126" s="23" t="n">
        <v>3</v>
      </c>
      <c r="F126" s="23" t="n">
        <v>0</v>
      </c>
      <c r="G126" s="12" t="n"/>
      <c r="H126" s="13" t="n"/>
      <c r="I126" s="14" t="n"/>
    </row>
    <row r="127">
      <c r="A127" s="22" t="n"/>
      <c r="B127" s="23" t="n"/>
      <c r="C127" s="23" t="n"/>
      <c r="D127" s="23" t="n"/>
      <c r="E127" s="23" t="n">
        <v>2</v>
      </c>
      <c r="F127" s="23" t="n">
        <v>0</v>
      </c>
      <c r="G127" s="12" t="n"/>
      <c r="H127" s="13" t="n"/>
      <c r="I127" s="14" t="n"/>
    </row>
    <row r="128">
      <c r="A128" s="22" t="n"/>
      <c r="B128" s="23" t="n"/>
      <c r="C128" s="23" t="n"/>
      <c r="D128" s="23" t="n"/>
      <c r="E128" s="23" t="n">
        <v>1</v>
      </c>
      <c r="F128" s="23" t="n">
        <v>0</v>
      </c>
      <c r="G128" s="12" t="n"/>
      <c r="H128" s="13" t="n"/>
      <c r="I128" s="14" t="n"/>
    </row>
    <row r="129">
      <c r="A129" s="24" t="n"/>
      <c r="B129" s="25" t="n"/>
      <c r="C129" s="25" t="n"/>
      <c r="D129" s="25" t="n"/>
      <c r="E129" s="25" t="n">
        <v>0</v>
      </c>
      <c r="F129" s="25" t="n">
        <v>0</v>
      </c>
      <c r="G129" s="17" t="n"/>
      <c r="H129" s="18" t="n"/>
      <c r="I129" s="19" t="n"/>
    </row>
  </sheetData>
  <autoFilter ref="A1:I129"/>
  <mergeCells count="55">
    <mergeCell ref="D74:D81"/>
    <mergeCell ref="G18:G22"/>
    <mergeCell ref="C66:C97"/>
    <mergeCell ref="I18:I22"/>
    <mergeCell ref="D26:D33"/>
    <mergeCell ref="D82:D89"/>
    <mergeCell ref="A34:A65"/>
    <mergeCell ref="C34:C65"/>
    <mergeCell ref="H10:H13"/>
    <mergeCell ref="I34:I65"/>
    <mergeCell ref="G2:G7"/>
    <mergeCell ref="D10:D17"/>
    <mergeCell ref="I2:I7"/>
    <mergeCell ref="I23:I25"/>
    <mergeCell ref="D50:D57"/>
    <mergeCell ref="A98:A129"/>
    <mergeCell ref="G10:G13"/>
    <mergeCell ref="B66:B97"/>
    <mergeCell ref="C98:C129"/>
    <mergeCell ref="D34:D41"/>
    <mergeCell ref="D90:D97"/>
    <mergeCell ref="H34:H65"/>
    <mergeCell ref="H18:H22"/>
    <mergeCell ref="H2:H7"/>
    <mergeCell ref="D2:D9"/>
    <mergeCell ref="H23:H25"/>
    <mergeCell ref="G98:G129"/>
    <mergeCell ref="G26:G32"/>
    <mergeCell ref="H98:H129"/>
    <mergeCell ref="I98:I129"/>
    <mergeCell ref="G14:G17"/>
    <mergeCell ref="A66:A97"/>
    <mergeCell ref="G66:G97"/>
    <mergeCell ref="I14:I17"/>
    <mergeCell ref="I66:I97"/>
    <mergeCell ref="B2:B33"/>
    <mergeCell ref="G34:G65"/>
    <mergeCell ref="B98:B129"/>
    <mergeCell ref="G23:G25"/>
    <mergeCell ref="D66:D73"/>
    <mergeCell ref="H26:H32"/>
    <mergeCell ref="I10:I13"/>
    <mergeCell ref="D18:D25"/>
    <mergeCell ref="D106:D113"/>
    <mergeCell ref="D122:D129"/>
    <mergeCell ref="D58:D65"/>
    <mergeCell ref="D114:D121"/>
    <mergeCell ref="A2:A33"/>
    <mergeCell ref="B34:B65"/>
    <mergeCell ref="C2:C33"/>
    <mergeCell ref="H14:H17"/>
    <mergeCell ref="D42:D49"/>
    <mergeCell ref="H66:H97"/>
    <mergeCell ref="I26:I32"/>
    <mergeCell ref="D98:D105"/>
  </mergeCells>
  <pageMargins left="0.25" right="0.2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6" customWidth="1" min="3" max="3"/>
    <col width="15" customWidth="1" min="4" max="4"/>
    <col width="8" customWidth="1" min="5" max="5"/>
    <col width="14" customWidth="1" min="6" max="6"/>
    <col width="24" customWidth="1" min="7" max="7"/>
    <col width="15" customWidth="1" min="8" max="8"/>
    <col width="52" customWidth="1" min="9" max="9"/>
  </cols>
  <sheetData>
    <row r="1" ht="32" customHeight="1">
      <c r="A1" s="1" t="inlineStr">
        <is>
          <t>Register Name</t>
        </is>
      </c>
      <c r="B1" s="1" t="inlineStr">
        <is>
          <t>Offset (hex)</t>
        </is>
      </c>
      <c r="C1" s="1" t="inlineStr">
        <is>
          <t>Reg Value
(hex)</t>
        </is>
      </c>
      <c r="D1" s="1" t="inlineStr">
        <is>
          <t>Byte Value
(hex)</t>
        </is>
      </c>
      <c r="E1" s="1" t="inlineStr">
        <is>
          <t>Bits</t>
        </is>
      </c>
      <c r="F1" s="1" t="inlineStr">
        <is>
          <t>Bit Value
(hex)</t>
        </is>
      </c>
      <c r="G1" s="1" t="inlineStr">
        <is>
          <t>Field Name</t>
        </is>
      </c>
      <c r="H1" s="1" t="inlineStr">
        <is>
          <t>Memory Access</t>
        </is>
      </c>
      <c r="I1" s="1" t="inlineStr">
        <is>
          <t>Description</t>
        </is>
      </c>
    </row>
    <row r="2">
      <c r="A2" s="2" t="inlineStr">
        <is>
          <t>SPI_ADDRESS</t>
        </is>
      </c>
      <c r="B2" s="3" t="str">
        <f>DEC2HEX(512,4)&amp;"h"</f>
        <v>0200h</v>
      </c>
      <c r="C2" s="3" t="str">
        <f>LEFT(D2,2)&amp;LEFT(D10,2)&amp;LEFT(D18,2)&amp;LEFT(D26,2)&amp;"h"</f>
        <v>00000000h</v>
      </c>
      <c r="D2" s="3" t="str">
        <f>DEC2HEX(128*F2+64*F3+32*F4+16*F5+8*F6+4*F7+2*F8+1*F9,2)&amp;"h"</f>
        <v>00h</v>
      </c>
      <c r="E2" s="3" t="n">
        <v>31</v>
      </c>
      <c r="F2" s="3" t="n">
        <v>0</v>
      </c>
      <c r="G2" s="4" t="inlineStr">
        <is>
          <t>RESERVED</t>
        </is>
      </c>
      <c r="H2" s="5" t="inlineStr">
        <is>
          <t>RO</t>
        </is>
      </c>
      <c r="I2" s="6" t="inlineStr">
        <is>
          <t>Reserved; keep at reset value.</t>
        </is>
      </c>
    </row>
    <row r="3">
      <c r="A3" s="7" t="n"/>
      <c r="B3" s="8" t="n"/>
      <c r="C3" s="8" t="n"/>
      <c r="D3" s="8" t="n"/>
      <c r="E3" s="8" t="n">
        <v>30</v>
      </c>
      <c r="F3" s="8" t="n">
        <v>0</v>
      </c>
      <c r="G3" s="9" t="n"/>
      <c r="H3" s="10" t="n"/>
      <c r="I3" s="11" t="n"/>
    </row>
    <row r="4">
      <c r="A4" s="7" t="n"/>
      <c r="B4" s="8" t="n"/>
      <c r="C4" s="8" t="n"/>
      <c r="D4" s="8" t="n"/>
      <c r="E4" s="8" t="n">
        <v>29</v>
      </c>
      <c r="F4" s="8" t="n">
        <v>0</v>
      </c>
      <c r="G4" s="9" t="n"/>
      <c r="H4" s="10" t="n"/>
      <c r="I4" s="11" t="n"/>
    </row>
    <row r="5">
      <c r="A5" s="7" t="n"/>
      <c r="B5" s="8" t="n"/>
      <c r="C5" s="8" t="n"/>
      <c r="D5" s="8" t="n"/>
      <c r="E5" s="8" t="n">
        <v>28</v>
      </c>
      <c r="F5" s="8" t="n">
        <v>0</v>
      </c>
      <c r="G5" s="9" t="n"/>
      <c r="H5" s="10" t="n"/>
      <c r="I5" s="11" t="n"/>
    </row>
    <row r="6">
      <c r="A6" s="7" t="n"/>
      <c r="B6" s="8" t="n"/>
      <c r="C6" s="8" t="n"/>
      <c r="D6" s="8" t="n"/>
      <c r="E6" s="8" t="n">
        <v>27</v>
      </c>
      <c r="F6" s="8" t="n">
        <v>0</v>
      </c>
      <c r="G6" s="9" t="n"/>
      <c r="H6" s="10" t="n"/>
      <c r="I6" s="11" t="n"/>
    </row>
    <row r="7">
      <c r="A7" s="7" t="n"/>
      <c r="B7" s="8" t="n"/>
      <c r="C7" s="8" t="n"/>
      <c r="D7" s="8" t="n"/>
      <c r="E7" s="8" t="n">
        <v>26</v>
      </c>
      <c r="F7" s="8" t="n">
        <v>0</v>
      </c>
      <c r="G7" s="9" t="n"/>
      <c r="H7" s="10" t="n"/>
      <c r="I7" s="11" t="n"/>
    </row>
    <row r="8">
      <c r="A8" s="7" t="n"/>
      <c r="B8" s="8" t="n"/>
      <c r="C8" s="8" t="n"/>
      <c r="D8" s="8" t="n"/>
      <c r="E8" s="8" t="n">
        <v>25</v>
      </c>
      <c r="F8" s="8" t="n">
        <v>0</v>
      </c>
      <c r="G8" s="9" t="n"/>
      <c r="H8" s="10" t="n"/>
      <c r="I8" s="11" t="n"/>
    </row>
    <row r="9">
      <c r="A9" s="7" t="n"/>
      <c r="B9" s="8" t="n"/>
      <c r="C9" s="8" t="n"/>
      <c r="D9" s="8" t="n"/>
      <c r="E9" s="8" t="n">
        <v>24</v>
      </c>
      <c r="F9" s="8" t="n">
        <v>0</v>
      </c>
      <c r="G9" s="9" t="n"/>
      <c r="H9" s="10" t="n"/>
      <c r="I9" s="11" t="n"/>
    </row>
    <row r="10">
      <c r="A10" s="7" t="n"/>
      <c r="B10" s="8" t="n"/>
      <c r="C10" s="8" t="n"/>
      <c r="D10" s="8" t="str">
        <f>DEC2HEX(128*F10+64*F11+32*F12+16*F13+8*F14+4*F15+2*F16+1*F17,2)&amp;"h"</f>
        <v>00h</v>
      </c>
      <c r="E10" s="8" t="n">
        <v>23</v>
      </c>
      <c r="F10" s="8" t="n">
        <v>0</v>
      </c>
      <c r="G10" s="9" t="n"/>
      <c r="H10" s="10" t="n"/>
      <c r="I10" s="11" t="n"/>
    </row>
    <row r="11">
      <c r="A11" s="7" t="n"/>
      <c r="B11" s="8" t="n"/>
      <c r="C11" s="8" t="n"/>
      <c r="D11" s="8" t="n"/>
      <c r="E11" s="8" t="n">
        <v>22</v>
      </c>
      <c r="F11" s="8" t="n">
        <v>0</v>
      </c>
      <c r="G11" s="9" t="n"/>
      <c r="H11" s="10" t="n"/>
      <c r="I11" s="11" t="n"/>
    </row>
    <row r="12">
      <c r="A12" s="7" t="n"/>
      <c r="B12" s="8" t="n"/>
      <c r="C12" s="8" t="n"/>
      <c r="D12" s="8" t="n"/>
      <c r="E12" s="8" t="n">
        <v>21</v>
      </c>
      <c r="F12" s="8" t="n">
        <v>0</v>
      </c>
      <c r="G12" s="9" t="n"/>
      <c r="H12" s="10" t="n"/>
      <c r="I12" s="11" t="n"/>
    </row>
    <row r="13">
      <c r="A13" s="7" t="n"/>
      <c r="B13" s="8" t="n"/>
      <c r="C13" s="8" t="n"/>
      <c r="D13" s="8" t="n"/>
      <c r="E13" s="8" t="n">
        <v>20</v>
      </c>
      <c r="F13" s="8" t="n">
        <v>0</v>
      </c>
      <c r="G13" s="9" t="n"/>
      <c r="H13" s="10" t="n"/>
      <c r="I13" s="11" t="n"/>
    </row>
    <row r="14">
      <c r="A14" s="7" t="n"/>
      <c r="B14" s="8" t="n"/>
      <c r="C14" s="8" t="n"/>
      <c r="D14" s="8" t="n"/>
      <c r="E14" s="8" t="n">
        <v>19</v>
      </c>
      <c r="F14" s="8" t="n">
        <v>0</v>
      </c>
      <c r="G14" s="9" t="n"/>
      <c r="H14" s="10" t="n"/>
      <c r="I14" s="11" t="n"/>
    </row>
    <row r="15">
      <c r="A15" s="7" t="n"/>
      <c r="B15" s="8" t="n"/>
      <c r="C15" s="8" t="n"/>
      <c r="D15" s="8" t="n"/>
      <c r="E15" s="8" t="n">
        <v>18</v>
      </c>
      <c r="F15" s="8" t="n">
        <v>0</v>
      </c>
      <c r="G15" s="9" t="n"/>
      <c r="H15" s="10" t="n"/>
      <c r="I15" s="11" t="n"/>
    </row>
    <row r="16">
      <c r="A16" s="7" t="n"/>
      <c r="B16" s="8" t="n"/>
      <c r="C16" s="8" t="n"/>
      <c r="D16" s="8" t="n"/>
      <c r="E16" s="8" t="n">
        <v>17</v>
      </c>
      <c r="F16" s="8" t="n">
        <v>0</v>
      </c>
      <c r="G16" s="9" t="n"/>
      <c r="H16" s="10" t="n"/>
      <c r="I16" s="11" t="n"/>
    </row>
    <row r="17">
      <c r="A17" s="7" t="n"/>
      <c r="B17" s="8" t="n"/>
      <c r="C17" s="8" t="n"/>
      <c r="D17" s="8" t="n"/>
      <c r="E17" s="8" t="n">
        <v>16</v>
      </c>
      <c r="F17" s="8" t="n">
        <v>0</v>
      </c>
      <c r="G17" s="9" t="n"/>
      <c r="H17" s="10" t="n"/>
      <c r="I17" s="11" t="n"/>
    </row>
    <row r="18">
      <c r="A18" s="7" t="n"/>
      <c r="B18" s="8" t="n"/>
      <c r="C18" s="8" t="n"/>
      <c r="D18" s="8" t="str">
        <f>DEC2HEX(128*F18+64*F19+32*F20+16*F21+8*F22+4*F23+2*F24+1*F25,2)&amp;"h"</f>
        <v>00h</v>
      </c>
      <c r="E18" s="8" t="n">
        <v>15</v>
      </c>
      <c r="F18" s="8" t="n">
        <v>0</v>
      </c>
      <c r="G18" s="9" t="n"/>
      <c r="H18" s="10" t="n"/>
      <c r="I18" s="11" t="n"/>
    </row>
    <row r="19">
      <c r="A19" s="7" t="n"/>
      <c r="B19" s="8" t="n"/>
      <c r="C19" s="8" t="n"/>
      <c r="D19" s="8" t="n"/>
      <c r="E19" s="8" t="n">
        <v>14</v>
      </c>
      <c r="F19" s="8" t="n">
        <v>0</v>
      </c>
      <c r="G19" s="9" t="n"/>
      <c r="H19" s="10" t="n"/>
      <c r="I19" s="11" t="n"/>
    </row>
    <row r="20">
      <c r="A20" s="7" t="n"/>
      <c r="B20" s="8" t="n"/>
      <c r="C20" s="8" t="n"/>
      <c r="D20" s="8" t="n"/>
      <c r="E20" s="8" t="n">
        <v>13</v>
      </c>
      <c r="F20" s="8" t="n">
        <v>0</v>
      </c>
      <c r="G20" s="9" t="n"/>
      <c r="H20" s="10" t="n"/>
      <c r="I20" s="11" t="n"/>
    </row>
    <row r="21">
      <c r="A21" s="7" t="n"/>
      <c r="B21" s="8" t="n"/>
      <c r="C21" s="8" t="n"/>
      <c r="D21" s="8" t="n"/>
      <c r="E21" s="8" t="n">
        <v>12</v>
      </c>
      <c r="F21" s="8" t="n">
        <v>0</v>
      </c>
      <c r="G21" s="9" t="n"/>
      <c r="H21" s="10" t="n"/>
      <c r="I21" s="11" t="n"/>
    </row>
    <row r="22">
      <c r="A22" s="7" t="n"/>
      <c r="B22" s="8" t="n"/>
      <c r="C22" s="8" t="n"/>
      <c r="D22" s="8" t="n"/>
      <c r="E22" s="8" t="n">
        <v>11</v>
      </c>
      <c r="F22" s="8" t="n">
        <v>0</v>
      </c>
      <c r="G22" s="9" t="n"/>
      <c r="H22" s="10" t="n"/>
      <c r="I22" s="11" t="n"/>
    </row>
    <row r="23">
      <c r="A23" s="7" t="n"/>
      <c r="B23" s="8" t="n"/>
      <c r="C23" s="8" t="n"/>
      <c r="D23" s="8" t="n"/>
      <c r="E23" s="8" t="n">
        <v>10</v>
      </c>
      <c r="F23" s="8" t="n">
        <v>0</v>
      </c>
      <c r="G23" s="9" t="n"/>
      <c r="H23" s="10" t="n"/>
      <c r="I23" s="11" t="n"/>
    </row>
    <row r="24">
      <c r="A24" s="7" t="n"/>
      <c r="B24" s="8" t="n"/>
      <c r="C24" s="8" t="n"/>
      <c r="D24" s="8" t="n"/>
      <c r="E24" s="8" t="n">
        <v>9</v>
      </c>
      <c r="F24" s="8" t="n">
        <v>0</v>
      </c>
      <c r="G24" s="12" t="inlineStr">
        <is>
          <t>spi_read_request</t>
        </is>
      </c>
      <c r="H24" s="13" t="inlineStr">
        <is>
          <t>RW</t>
        </is>
      </c>
      <c r="I24" s="14" t="inlineStr">
        <is>
          <t>1表示读寄存器，0表示写寄存器</t>
        </is>
      </c>
    </row>
    <row r="25">
      <c r="A25" s="7" t="n"/>
      <c r="B25" s="8" t="n"/>
      <c r="C25" s="8" t="n"/>
      <c r="D25" s="8" t="n"/>
      <c r="E25" s="8" t="n">
        <v>8</v>
      </c>
      <c r="F25" s="8" t="n">
        <v>0</v>
      </c>
      <c r="G25" s="38" t="inlineStr">
        <is>
          <t>spi_address_valid</t>
        </is>
      </c>
      <c r="H25" s="39" t="inlineStr">
        <is>
          <t>W1S</t>
        </is>
      </c>
      <c r="I25" s="40" t="inlineStr">
        <is>
          <t>写1启动访问，传输完成后由硬件自动清零</t>
        </is>
      </c>
    </row>
    <row r="26">
      <c r="A26" s="7" t="n"/>
      <c r="B26" s="8" t="n"/>
      <c r="C26" s="8" t="n"/>
      <c r="D26" s="8" t="str">
        <f>DEC2HEX(128*F26+64*F27+32*F28+16*F29+8*F30+4*F31+2*F32+1*F33,2)&amp;"h"</f>
        <v>00h</v>
      </c>
      <c r="E26" s="8" t="n">
        <v>7</v>
      </c>
      <c r="F26" s="8" t="n">
        <v>0</v>
      </c>
      <c r="G26" s="12" t="inlineStr">
        <is>
          <t>spi_rw_address</t>
        </is>
      </c>
      <c r="H26" s="13" t="inlineStr">
        <is>
          <t>RW</t>
        </is>
      </c>
      <c r="I26" s="14" t="inlineStr"/>
    </row>
    <row r="27">
      <c r="A27" s="7" t="n"/>
      <c r="B27" s="8" t="n"/>
      <c r="C27" s="8" t="n"/>
      <c r="D27" s="8" t="n"/>
      <c r="E27" s="8" t="n">
        <v>6</v>
      </c>
      <c r="F27" s="8" t="n">
        <v>0</v>
      </c>
      <c r="G27" s="12" t="n"/>
      <c r="H27" s="13" t="n"/>
      <c r="I27" s="14" t="n"/>
    </row>
    <row r="28">
      <c r="A28" s="7" t="n"/>
      <c r="B28" s="8" t="n"/>
      <c r="C28" s="8" t="n"/>
      <c r="D28" s="8" t="n"/>
      <c r="E28" s="8" t="n">
        <v>5</v>
      </c>
      <c r="F28" s="8" t="n">
        <v>0</v>
      </c>
      <c r="G28" s="12" t="n"/>
      <c r="H28" s="13" t="n"/>
      <c r="I28" s="14" t="n"/>
    </row>
    <row r="29">
      <c r="A29" s="7" t="n"/>
      <c r="B29" s="8" t="n"/>
      <c r="C29" s="8" t="n"/>
      <c r="D29" s="8" t="n"/>
      <c r="E29" s="8" t="n">
        <v>4</v>
      </c>
      <c r="F29" s="8" t="n">
        <v>0</v>
      </c>
      <c r="G29" s="12" t="n"/>
      <c r="H29" s="13" t="n"/>
      <c r="I29" s="14" t="n"/>
    </row>
    <row r="30">
      <c r="A30" s="7" t="n"/>
      <c r="B30" s="8" t="n"/>
      <c r="C30" s="8" t="n"/>
      <c r="D30" s="8" t="n"/>
      <c r="E30" s="8" t="n">
        <v>3</v>
      </c>
      <c r="F30" s="8" t="n">
        <v>0</v>
      </c>
      <c r="G30" s="12" t="n"/>
      <c r="H30" s="13" t="n"/>
      <c r="I30" s="14" t="n"/>
    </row>
    <row r="31">
      <c r="A31" s="7" t="n"/>
      <c r="B31" s="8" t="n"/>
      <c r="C31" s="8" t="n"/>
      <c r="D31" s="8" t="n"/>
      <c r="E31" s="8" t="n">
        <v>2</v>
      </c>
      <c r="F31" s="8" t="n">
        <v>0</v>
      </c>
      <c r="G31" s="12" t="n"/>
      <c r="H31" s="13" t="n"/>
      <c r="I31" s="14" t="n"/>
    </row>
    <row r="32">
      <c r="A32" s="7" t="n"/>
      <c r="B32" s="8" t="n"/>
      <c r="C32" s="8" t="n"/>
      <c r="D32" s="8" t="n"/>
      <c r="E32" s="8" t="n">
        <v>1</v>
      </c>
      <c r="F32" s="8" t="n">
        <v>0</v>
      </c>
      <c r="G32" s="12" t="n"/>
      <c r="H32" s="13" t="n"/>
      <c r="I32" s="14" t="n"/>
    </row>
    <row r="33">
      <c r="A33" s="15" t="n"/>
      <c r="B33" s="16" t="n"/>
      <c r="C33" s="16" t="n"/>
      <c r="D33" s="16" t="n"/>
      <c r="E33" s="16" t="n">
        <v>0</v>
      </c>
      <c r="F33" s="16" t="n">
        <v>0</v>
      </c>
      <c r="G33" s="17" t="n"/>
      <c r="H33" s="18" t="n"/>
      <c r="I33" s="19" t="n"/>
    </row>
    <row r="34">
      <c r="A34" s="20" t="inlineStr">
        <is>
          <t>SPI_WDATA</t>
        </is>
      </c>
      <c r="B34" s="21" t="str">
        <f>DEC2HEX(516,4)&amp;"h"</f>
        <v>0204h</v>
      </c>
      <c r="C34" s="21" t="str">
        <f>LEFT(D34,2)&amp;LEFT(D42,2)&amp;LEFT(D50,2)&amp;LEFT(D58,2)&amp;"h"</f>
        <v>00000000h</v>
      </c>
      <c r="D34" s="21" t="str">
        <f>DEC2HEX(128*F34+64*F35+32*F36+16*F37+8*F38+4*F39+2*F40+1*F41,2)&amp;"h"</f>
        <v>00h</v>
      </c>
      <c r="E34" s="21" t="n">
        <v>31</v>
      </c>
      <c r="F34" s="21" t="n">
        <v>0</v>
      </c>
      <c r="G34" s="4" t="inlineStr">
        <is>
          <t>RESERVED</t>
        </is>
      </c>
      <c r="H34" s="5" t="inlineStr">
        <is>
          <t>RO</t>
        </is>
      </c>
      <c r="I34" s="6" t="inlineStr">
        <is>
          <t>Reserved; keep at reset value.</t>
        </is>
      </c>
    </row>
    <row r="35">
      <c r="A35" s="22" t="n"/>
      <c r="B35" s="23" t="n"/>
      <c r="C35" s="23" t="n"/>
      <c r="D35" s="23" t="n"/>
      <c r="E35" s="23" t="n">
        <v>30</v>
      </c>
      <c r="F35" s="23" t="n">
        <v>0</v>
      </c>
      <c r="G35" s="9" t="n"/>
      <c r="H35" s="10" t="n"/>
      <c r="I35" s="11" t="n"/>
    </row>
    <row r="36">
      <c r="A36" s="22" t="n"/>
      <c r="B36" s="23" t="n"/>
      <c r="C36" s="23" t="n"/>
      <c r="D36" s="23" t="n"/>
      <c r="E36" s="23" t="n">
        <v>29</v>
      </c>
      <c r="F36" s="23" t="n">
        <v>0</v>
      </c>
      <c r="G36" s="9" t="n"/>
      <c r="H36" s="10" t="n"/>
      <c r="I36" s="11" t="n"/>
    </row>
    <row r="37">
      <c r="A37" s="22" t="n"/>
      <c r="B37" s="23" t="n"/>
      <c r="C37" s="23" t="n"/>
      <c r="D37" s="23" t="n"/>
      <c r="E37" s="23" t="n">
        <v>28</v>
      </c>
      <c r="F37" s="23" t="n">
        <v>0</v>
      </c>
      <c r="G37" s="9" t="n"/>
      <c r="H37" s="10" t="n"/>
      <c r="I37" s="11" t="n"/>
    </row>
    <row r="38">
      <c r="A38" s="22" t="n"/>
      <c r="B38" s="23" t="n"/>
      <c r="C38" s="23" t="n"/>
      <c r="D38" s="23" t="n"/>
      <c r="E38" s="23" t="n">
        <v>27</v>
      </c>
      <c r="F38" s="23" t="n">
        <v>0</v>
      </c>
      <c r="G38" s="9" t="n"/>
      <c r="H38" s="10" t="n"/>
      <c r="I38" s="11" t="n"/>
    </row>
    <row r="39">
      <c r="A39" s="22" t="n"/>
      <c r="B39" s="23" t="n"/>
      <c r="C39" s="23" t="n"/>
      <c r="D39" s="23" t="n"/>
      <c r="E39" s="23" t="n">
        <v>26</v>
      </c>
      <c r="F39" s="23" t="n">
        <v>0</v>
      </c>
      <c r="G39" s="9" t="n"/>
      <c r="H39" s="10" t="n"/>
      <c r="I39" s="11" t="n"/>
    </row>
    <row r="40">
      <c r="A40" s="22" t="n"/>
      <c r="B40" s="23" t="n"/>
      <c r="C40" s="23" t="n"/>
      <c r="D40" s="23" t="n"/>
      <c r="E40" s="23" t="n">
        <v>25</v>
      </c>
      <c r="F40" s="23" t="n">
        <v>0</v>
      </c>
      <c r="G40" s="9" t="n"/>
      <c r="H40" s="10" t="n"/>
      <c r="I40" s="11" t="n"/>
    </row>
    <row r="41">
      <c r="A41" s="22" t="n"/>
      <c r="B41" s="23" t="n"/>
      <c r="C41" s="23" t="n"/>
      <c r="D41" s="23" t="n"/>
      <c r="E41" s="23" t="n">
        <v>24</v>
      </c>
      <c r="F41" s="23" t="n">
        <v>0</v>
      </c>
      <c r="G41" s="9" t="n"/>
      <c r="H41" s="10" t="n"/>
      <c r="I41" s="11" t="n"/>
    </row>
    <row r="42">
      <c r="A42" s="22" t="n"/>
      <c r="B42" s="23" t="n"/>
      <c r="C42" s="23" t="n"/>
      <c r="D42" s="23" t="str">
        <f>DEC2HEX(128*F42+64*F43+32*F44+16*F45+8*F46+4*F47+2*F48+1*F49,2)&amp;"h"</f>
        <v>00h</v>
      </c>
      <c r="E42" s="23" t="n">
        <v>23</v>
      </c>
      <c r="F42" s="23" t="n">
        <v>0</v>
      </c>
      <c r="G42" s="9" t="n"/>
      <c r="H42" s="10" t="n"/>
      <c r="I42" s="11" t="n"/>
    </row>
    <row r="43">
      <c r="A43" s="22" t="n"/>
      <c r="B43" s="23" t="n"/>
      <c r="C43" s="23" t="n"/>
      <c r="D43" s="23" t="n"/>
      <c r="E43" s="23" t="n">
        <v>22</v>
      </c>
      <c r="F43" s="23" t="n">
        <v>0</v>
      </c>
      <c r="G43" s="9" t="n"/>
      <c r="H43" s="10" t="n"/>
      <c r="I43" s="11" t="n"/>
    </row>
    <row r="44">
      <c r="A44" s="22" t="n"/>
      <c r="B44" s="23" t="n"/>
      <c r="C44" s="23" t="n"/>
      <c r="D44" s="23" t="n"/>
      <c r="E44" s="23" t="n">
        <v>21</v>
      </c>
      <c r="F44" s="23" t="n">
        <v>0</v>
      </c>
      <c r="G44" s="9" t="n"/>
      <c r="H44" s="10" t="n"/>
      <c r="I44" s="11" t="n"/>
    </row>
    <row r="45">
      <c r="A45" s="22" t="n"/>
      <c r="B45" s="23" t="n"/>
      <c r="C45" s="23" t="n"/>
      <c r="D45" s="23" t="n"/>
      <c r="E45" s="23" t="n">
        <v>20</v>
      </c>
      <c r="F45" s="23" t="n">
        <v>0</v>
      </c>
      <c r="G45" s="9" t="n"/>
      <c r="H45" s="10" t="n"/>
      <c r="I45" s="11" t="n"/>
    </row>
    <row r="46">
      <c r="A46" s="22" t="n"/>
      <c r="B46" s="23" t="n"/>
      <c r="C46" s="23" t="n"/>
      <c r="D46" s="23" t="n"/>
      <c r="E46" s="23" t="n">
        <v>19</v>
      </c>
      <c r="F46" s="23" t="n">
        <v>0</v>
      </c>
      <c r="G46" s="9" t="n"/>
      <c r="H46" s="10" t="n"/>
      <c r="I46" s="11" t="n"/>
    </row>
    <row r="47">
      <c r="A47" s="22" t="n"/>
      <c r="B47" s="23" t="n"/>
      <c r="C47" s="23" t="n"/>
      <c r="D47" s="23" t="n"/>
      <c r="E47" s="23" t="n">
        <v>18</v>
      </c>
      <c r="F47" s="23" t="n">
        <v>0</v>
      </c>
      <c r="G47" s="9" t="n"/>
      <c r="H47" s="10" t="n"/>
      <c r="I47" s="11" t="n"/>
    </row>
    <row r="48">
      <c r="A48" s="22" t="n"/>
      <c r="B48" s="23" t="n"/>
      <c r="C48" s="23" t="n"/>
      <c r="D48" s="23" t="n"/>
      <c r="E48" s="23" t="n">
        <v>17</v>
      </c>
      <c r="F48" s="23" t="n">
        <v>0</v>
      </c>
      <c r="G48" s="9" t="n"/>
      <c r="H48" s="10" t="n"/>
      <c r="I48" s="11" t="n"/>
    </row>
    <row r="49">
      <c r="A49" s="22" t="n"/>
      <c r="B49" s="23" t="n"/>
      <c r="C49" s="23" t="n"/>
      <c r="D49" s="23" t="n"/>
      <c r="E49" s="23" t="n">
        <v>16</v>
      </c>
      <c r="F49" s="23" t="n">
        <v>0</v>
      </c>
      <c r="G49" s="9" t="n"/>
      <c r="H49" s="10" t="n"/>
      <c r="I49" s="11" t="n"/>
    </row>
    <row r="50">
      <c r="A50" s="22" t="n"/>
      <c r="B50" s="23" t="n"/>
      <c r="C50" s="23" t="n"/>
      <c r="D50" s="23" t="str">
        <f>DEC2HEX(128*F50+64*F51+32*F52+16*F53+8*F54+4*F55+2*F56+1*F57,2)&amp;"h"</f>
        <v>00h</v>
      </c>
      <c r="E50" s="23" t="n">
        <v>15</v>
      </c>
      <c r="F50" s="23" t="n">
        <v>0</v>
      </c>
      <c r="G50" s="26" t="inlineStr">
        <is>
          <t>spi_read_data</t>
        </is>
      </c>
      <c r="H50" s="27" t="inlineStr">
        <is>
          <t>RO</t>
        </is>
      </c>
      <c r="I50" s="28" t="inlineStr">
        <is>
          <t>最近一次ADS4229寄存器读回值</t>
        </is>
      </c>
    </row>
    <row r="51">
      <c r="A51" s="22" t="n"/>
      <c r="B51" s="23" t="n"/>
      <c r="C51" s="23" t="n"/>
      <c r="D51" s="23" t="n"/>
      <c r="E51" s="23" t="n">
        <v>14</v>
      </c>
      <c r="F51" s="23" t="n">
        <v>0</v>
      </c>
      <c r="G51" s="26" t="n"/>
      <c r="H51" s="27" t="n"/>
      <c r="I51" s="28" t="n"/>
    </row>
    <row r="52">
      <c r="A52" s="22" t="n"/>
      <c r="B52" s="23" t="n"/>
      <c r="C52" s="23" t="n"/>
      <c r="D52" s="23" t="n"/>
      <c r="E52" s="23" t="n">
        <v>13</v>
      </c>
      <c r="F52" s="23" t="n">
        <v>0</v>
      </c>
      <c r="G52" s="26" t="n"/>
      <c r="H52" s="27" t="n"/>
      <c r="I52" s="28" t="n"/>
    </row>
    <row r="53">
      <c r="A53" s="22" t="n"/>
      <c r="B53" s="23" t="n"/>
      <c r="C53" s="23" t="n"/>
      <c r="D53" s="23" t="n"/>
      <c r="E53" s="23" t="n">
        <v>12</v>
      </c>
      <c r="F53" s="23" t="n">
        <v>0</v>
      </c>
      <c r="G53" s="26" t="n"/>
      <c r="H53" s="27" t="n"/>
      <c r="I53" s="28" t="n"/>
    </row>
    <row r="54">
      <c r="A54" s="22" t="n"/>
      <c r="B54" s="23" t="n"/>
      <c r="C54" s="23" t="n"/>
      <c r="D54" s="23" t="n"/>
      <c r="E54" s="23" t="n">
        <v>11</v>
      </c>
      <c r="F54" s="23" t="n">
        <v>0</v>
      </c>
      <c r="G54" s="26" t="n"/>
      <c r="H54" s="27" t="n"/>
      <c r="I54" s="28" t="n"/>
    </row>
    <row r="55">
      <c r="A55" s="22" t="n"/>
      <c r="B55" s="23" t="n"/>
      <c r="C55" s="23" t="n"/>
      <c r="D55" s="23" t="n"/>
      <c r="E55" s="23" t="n">
        <v>10</v>
      </c>
      <c r="F55" s="23" t="n">
        <v>0</v>
      </c>
      <c r="G55" s="26" t="n"/>
      <c r="H55" s="27" t="n"/>
      <c r="I55" s="28" t="n"/>
    </row>
    <row r="56">
      <c r="A56" s="22" t="n"/>
      <c r="B56" s="23" t="n"/>
      <c r="C56" s="23" t="n"/>
      <c r="D56" s="23" t="n"/>
      <c r="E56" s="23" t="n">
        <v>9</v>
      </c>
      <c r="F56" s="23" t="n">
        <v>0</v>
      </c>
      <c r="G56" s="26" t="n"/>
      <c r="H56" s="27" t="n"/>
      <c r="I56" s="28" t="n"/>
    </row>
    <row r="57">
      <c r="A57" s="22" t="n"/>
      <c r="B57" s="23" t="n"/>
      <c r="C57" s="23" t="n"/>
      <c r="D57" s="23" t="n"/>
      <c r="E57" s="23" t="n">
        <v>8</v>
      </c>
      <c r="F57" s="23" t="n">
        <v>0</v>
      </c>
      <c r="G57" s="26" t="n"/>
      <c r="H57" s="27" t="n"/>
      <c r="I57" s="28" t="n"/>
    </row>
    <row r="58">
      <c r="A58" s="22" t="n"/>
      <c r="B58" s="23" t="n"/>
      <c r="C58" s="23" t="n"/>
      <c r="D58" s="23" t="str">
        <f>DEC2HEX(128*F58+64*F59+32*F60+16*F61+8*F62+4*F63+2*F64+1*F65,2)&amp;"h"</f>
        <v>00h</v>
      </c>
      <c r="E58" s="23" t="n">
        <v>7</v>
      </c>
      <c r="F58" s="23" t="n">
        <v>0</v>
      </c>
      <c r="G58" s="12" t="inlineStr">
        <is>
          <t>spi_write_data</t>
        </is>
      </c>
      <c r="H58" s="13" t="inlineStr">
        <is>
          <t>RW</t>
        </is>
      </c>
      <c r="I58" s="14" t="inlineStr">
        <is>
          <t>写操作使用的寄存器数据</t>
        </is>
      </c>
    </row>
    <row r="59">
      <c r="A59" s="22" t="n"/>
      <c r="B59" s="23" t="n"/>
      <c r="C59" s="23" t="n"/>
      <c r="D59" s="23" t="n"/>
      <c r="E59" s="23" t="n">
        <v>6</v>
      </c>
      <c r="F59" s="23" t="n">
        <v>0</v>
      </c>
      <c r="G59" s="12" t="n"/>
      <c r="H59" s="13" t="n"/>
      <c r="I59" s="14" t="n"/>
    </row>
    <row r="60">
      <c r="A60" s="22" t="n"/>
      <c r="B60" s="23" t="n"/>
      <c r="C60" s="23" t="n"/>
      <c r="D60" s="23" t="n"/>
      <c r="E60" s="23" t="n">
        <v>5</v>
      </c>
      <c r="F60" s="23" t="n">
        <v>0</v>
      </c>
      <c r="G60" s="12" t="n"/>
      <c r="H60" s="13" t="n"/>
      <c r="I60" s="14" t="n"/>
    </row>
    <row r="61">
      <c r="A61" s="22" t="n"/>
      <c r="B61" s="23" t="n"/>
      <c r="C61" s="23" t="n"/>
      <c r="D61" s="23" t="n"/>
      <c r="E61" s="23" t="n">
        <v>4</v>
      </c>
      <c r="F61" s="23" t="n">
        <v>0</v>
      </c>
      <c r="G61" s="12" t="n"/>
      <c r="H61" s="13" t="n"/>
      <c r="I61" s="14" t="n"/>
    </row>
    <row r="62">
      <c r="A62" s="22" t="n"/>
      <c r="B62" s="23" t="n"/>
      <c r="C62" s="23" t="n"/>
      <c r="D62" s="23" t="n"/>
      <c r="E62" s="23" t="n">
        <v>3</v>
      </c>
      <c r="F62" s="23" t="n">
        <v>0</v>
      </c>
      <c r="G62" s="12" t="n"/>
      <c r="H62" s="13" t="n"/>
      <c r="I62" s="14" t="n"/>
    </row>
    <row r="63">
      <c r="A63" s="22" t="n"/>
      <c r="B63" s="23" t="n"/>
      <c r="C63" s="23" t="n"/>
      <c r="D63" s="23" t="n"/>
      <c r="E63" s="23" t="n">
        <v>2</v>
      </c>
      <c r="F63" s="23" t="n">
        <v>0</v>
      </c>
      <c r="G63" s="12" t="n"/>
      <c r="H63" s="13" t="n"/>
      <c r="I63" s="14" t="n"/>
    </row>
    <row r="64">
      <c r="A64" s="22" t="n"/>
      <c r="B64" s="23" t="n"/>
      <c r="C64" s="23" t="n"/>
      <c r="D64" s="23" t="n"/>
      <c r="E64" s="23" t="n">
        <v>1</v>
      </c>
      <c r="F64" s="23" t="n">
        <v>0</v>
      </c>
      <c r="G64" s="12" t="n"/>
      <c r="H64" s="13" t="n"/>
      <c r="I64" s="14" t="n"/>
    </row>
    <row r="65">
      <c r="A65" s="24" t="n"/>
      <c r="B65" s="25" t="n"/>
      <c r="C65" s="25" t="n"/>
      <c r="D65" s="25" t="n"/>
      <c r="E65" s="25" t="n">
        <v>0</v>
      </c>
      <c r="F65" s="25" t="n">
        <v>0</v>
      </c>
      <c r="G65" s="17" t="n"/>
      <c r="H65" s="18" t="n"/>
      <c r="I65" s="19" t="n"/>
    </row>
    <row r="66">
      <c r="A66" s="2" t="inlineStr">
        <is>
          <t>SPI_CLOCK_DIVIDER</t>
        </is>
      </c>
      <c r="B66" s="3" t="str">
        <f>DEC2HEX(520,4)&amp;"h"</f>
        <v>0208h</v>
      </c>
      <c r="C66" s="3" t="str">
        <f>LEFT(D66,2)&amp;LEFT(D74,2)&amp;LEFT(D82,2)&amp;LEFT(D90,2)&amp;"h"</f>
        <v>00000010h</v>
      </c>
      <c r="D66" s="3" t="str">
        <f>DEC2HEX(128*F66+64*F67+32*F68+16*F69+8*F70+4*F71+2*F72+1*F73,2)&amp;"h"</f>
        <v>00h</v>
      </c>
      <c r="E66" s="3" t="n">
        <v>31</v>
      </c>
      <c r="F66" s="3" t="n">
        <v>0</v>
      </c>
      <c r="G66" s="4" t="inlineStr">
        <is>
          <t>RESERVED</t>
        </is>
      </c>
      <c r="H66" s="5" t="inlineStr">
        <is>
          <t>RO</t>
        </is>
      </c>
      <c r="I66" s="6" t="inlineStr">
        <is>
          <t>Reserved; keep at reset value.</t>
        </is>
      </c>
    </row>
    <row r="67">
      <c r="A67" s="7" t="n"/>
      <c r="B67" s="8" t="n"/>
      <c r="C67" s="8" t="n"/>
      <c r="D67" s="8" t="n"/>
      <c r="E67" s="8" t="n">
        <v>30</v>
      </c>
      <c r="F67" s="8" t="n">
        <v>0</v>
      </c>
      <c r="G67" s="9" t="n"/>
      <c r="H67" s="10" t="n"/>
      <c r="I67" s="11" t="n"/>
    </row>
    <row r="68">
      <c r="A68" s="7" t="n"/>
      <c r="B68" s="8" t="n"/>
      <c r="C68" s="8" t="n"/>
      <c r="D68" s="8" t="n"/>
      <c r="E68" s="8" t="n">
        <v>29</v>
      </c>
      <c r="F68" s="8" t="n">
        <v>0</v>
      </c>
      <c r="G68" s="9" t="n"/>
      <c r="H68" s="10" t="n"/>
      <c r="I68" s="11" t="n"/>
    </row>
    <row r="69">
      <c r="A69" s="7" t="n"/>
      <c r="B69" s="8" t="n"/>
      <c r="C69" s="8" t="n"/>
      <c r="D69" s="8" t="n"/>
      <c r="E69" s="8" t="n">
        <v>28</v>
      </c>
      <c r="F69" s="8" t="n">
        <v>0</v>
      </c>
      <c r="G69" s="9" t="n"/>
      <c r="H69" s="10" t="n"/>
      <c r="I69" s="11" t="n"/>
    </row>
    <row r="70">
      <c r="A70" s="7" t="n"/>
      <c r="B70" s="8" t="n"/>
      <c r="C70" s="8" t="n"/>
      <c r="D70" s="8" t="n"/>
      <c r="E70" s="8" t="n">
        <v>27</v>
      </c>
      <c r="F70" s="8" t="n">
        <v>0</v>
      </c>
      <c r="G70" s="9" t="n"/>
      <c r="H70" s="10" t="n"/>
      <c r="I70" s="11" t="n"/>
    </row>
    <row r="71">
      <c r="A71" s="7" t="n"/>
      <c r="B71" s="8" t="n"/>
      <c r="C71" s="8" t="n"/>
      <c r="D71" s="8" t="n"/>
      <c r="E71" s="8" t="n">
        <v>26</v>
      </c>
      <c r="F71" s="8" t="n">
        <v>0</v>
      </c>
      <c r="G71" s="9" t="n"/>
      <c r="H71" s="10" t="n"/>
      <c r="I71" s="11" t="n"/>
    </row>
    <row r="72">
      <c r="A72" s="7" t="n"/>
      <c r="B72" s="8" t="n"/>
      <c r="C72" s="8" t="n"/>
      <c r="D72" s="8" t="n"/>
      <c r="E72" s="8" t="n">
        <v>25</v>
      </c>
      <c r="F72" s="8" t="n">
        <v>0</v>
      </c>
      <c r="G72" s="9" t="n"/>
      <c r="H72" s="10" t="n"/>
      <c r="I72" s="11" t="n"/>
    </row>
    <row r="73">
      <c r="A73" s="7" t="n"/>
      <c r="B73" s="8" t="n"/>
      <c r="C73" s="8" t="n"/>
      <c r="D73" s="8" t="n"/>
      <c r="E73" s="8" t="n">
        <v>24</v>
      </c>
      <c r="F73" s="8" t="n">
        <v>0</v>
      </c>
      <c r="G73" s="9" t="n"/>
      <c r="H73" s="10" t="n"/>
      <c r="I73" s="11" t="n"/>
    </row>
    <row r="74">
      <c r="A74" s="7" t="n"/>
      <c r="B74" s="8" t="n"/>
      <c r="C74" s="8" t="n"/>
      <c r="D74" s="8" t="str">
        <f>DEC2HEX(128*F74+64*F75+32*F76+16*F77+8*F78+4*F79+2*F80+1*F81,2)&amp;"h"</f>
        <v>00h</v>
      </c>
      <c r="E74" s="8" t="n">
        <v>23</v>
      </c>
      <c r="F74" s="8" t="n">
        <v>0</v>
      </c>
      <c r="G74" s="9" t="n"/>
      <c r="H74" s="10" t="n"/>
      <c r="I74" s="11" t="n"/>
    </row>
    <row r="75">
      <c r="A75" s="7" t="n"/>
      <c r="B75" s="8" t="n"/>
      <c r="C75" s="8" t="n"/>
      <c r="D75" s="8" t="n"/>
      <c r="E75" s="8" t="n">
        <v>22</v>
      </c>
      <c r="F75" s="8" t="n">
        <v>0</v>
      </c>
      <c r="G75" s="9" t="n"/>
      <c r="H75" s="10" t="n"/>
      <c r="I75" s="11" t="n"/>
    </row>
    <row r="76">
      <c r="A76" s="7" t="n"/>
      <c r="B76" s="8" t="n"/>
      <c r="C76" s="8" t="n"/>
      <c r="D76" s="8" t="n"/>
      <c r="E76" s="8" t="n">
        <v>21</v>
      </c>
      <c r="F76" s="8" t="n">
        <v>0</v>
      </c>
      <c r="G76" s="9" t="n"/>
      <c r="H76" s="10" t="n"/>
      <c r="I76" s="11" t="n"/>
    </row>
    <row r="77">
      <c r="A77" s="7" t="n"/>
      <c r="B77" s="8" t="n"/>
      <c r="C77" s="8" t="n"/>
      <c r="D77" s="8" t="n"/>
      <c r="E77" s="8" t="n">
        <v>20</v>
      </c>
      <c r="F77" s="8" t="n">
        <v>0</v>
      </c>
      <c r="G77" s="9" t="n"/>
      <c r="H77" s="10" t="n"/>
      <c r="I77" s="11" t="n"/>
    </row>
    <row r="78">
      <c r="A78" s="7" t="n"/>
      <c r="B78" s="8" t="n"/>
      <c r="C78" s="8" t="n"/>
      <c r="D78" s="8" t="n"/>
      <c r="E78" s="8" t="n">
        <v>19</v>
      </c>
      <c r="F78" s="8" t="n">
        <v>0</v>
      </c>
      <c r="G78" s="9" t="n"/>
      <c r="H78" s="10" t="n"/>
      <c r="I78" s="11" t="n"/>
    </row>
    <row r="79">
      <c r="A79" s="7" t="n"/>
      <c r="B79" s="8" t="n"/>
      <c r="C79" s="8" t="n"/>
      <c r="D79" s="8" t="n"/>
      <c r="E79" s="8" t="n">
        <v>18</v>
      </c>
      <c r="F79" s="8" t="n">
        <v>0</v>
      </c>
      <c r="G79" s="9" t="n"/>
      <c r="H79" s="10" t="n"/>
      <c r="I79" s="11" t="n"/>
    </row>
    <row r="80">
      <c r="A80" s="7" t="n"/>
      <c r="B80" s="8" t="n"/>
      <c r="C80" s="8" t="n"/>
      <c r="D80" s="8" t="n"/>
      <c r="E80" s="8" t="n">
        <v>17</v>
      </c>
      <c r="F80" s="8" t="n">
        <v>0</v>
      </c>
      <c r="G80" s="9" t="n"/>
      <c r="H80" s="10" t="n"/>
      <c r="I80" s="11" t="n"/>
    </row>
    <row r="81">
      <c r="A81" s="7" t="n"/>
      <c r="B81" s="8" t="n"/>
      <c r="C81" s="8" t="n"/>
      <c r="D81" s="8" t="n"/>
      <c r="E81" s="8" t="n">
        <v>16</v>
      </c>
      <c r="F81" s="8" t="n">
        <v>0</v>
      </c>
      <c r="G81" s="9" t="n"/>
      <c r="H81" s="10" t="n"/>
      <c r="I81" s="11" t="n"/>
    </row>
    <row r="82">
      <c r="A82" s="7" t="n"/>
      <c r="B82" s="8" t="n"/>
      <c r="C82" s="8" t="n"/>
      <c r="D82" s="8" t="str">
        <f>DEC2HEX(128*F82+64*F83+32*F84+16*F85+8*F86+4*F87+2*F88+1*F89,2)&amp;"h"</f>
        <v>00h</v>
      </c>
      <c r="E82" s="8" t="n">
        <v>15</v>
      </c>
      <c r="F82" s="8" t="n">
        <v>0</v>
      </c>
      <c r="G82" s="9" t="n"/>
      <c r="H82" s="10" t="n"/>
      <c r="I82" s="11" t="n"/>
    </row>
    <row r="83">
      <c r="A83" s="7" t="n"/>
      <c r="B83" s="8" t="n"/>
      <c r="C83" s="8" t="n"/>
      <c r="D83" s="8" t="n"/>
      <c r="E83" s="8" t="n">
        <v>14</v>
      </c>
      <c r="F83" s="8" t="n">
        <v>0</v>
      </c>
      <c r="G83" s="9" t="n"/>
      <c r="H83" s="10" t="n"/>
      <c r="I83" s="11" t="n"/>
    </row>
    <row r="84">
      <c r="A84" s="7" t="n"/>
      <c r="B84" s="8" t="n"/>
      <c r="C84" s="8" t="n"/>
      <c r="D84" s="8" t="n"/>
      <c r="E84" s="8" t="n">
        <v>13</v>
      </c>
      <c r="F84" s="8" t="n">
        <v>0</v>
      </c>
      <c r="G84" s="9" t="n"/>
      <c r="H84" s="10" t="n"/>
      <c r="I84" s="11" t="n"/>
    </row>
    <row r="85">
      <c r="A85" s="7" t="n"/>
      <c r="B85" s="8" t="n"/>
      <c r="C85" s="8" t="n"/>
      <c r="D85" s="8" t="n"/>
      <c r="E85" s="8" t="n">
        <v>12</v>
      </c>
      <c r="F85" s="8" t="n">
        <v>0</v>
      </c>
      <c r="G85" s="9" t="n"/>
      <c r="H85" s="10" t="n"/>
      <c r="I85" s="11" t="n"/>
    </row>
    <row r="86">
      <c r="A86" s="7" t="n"/>
      <c r="B86" s="8" t="n"/>
      <c r="C86" s="8" t="n"/>
      <c r="D86" s="8" t="n"/>
      <c r="E86" s="8" t="n">
        <v>11</v>
      </c>
      <c r="F86" s="8" t="n">
        <v>0</v>
      </c>
      <c r="G86" s="9" t="n"/>
      <c r="H86" s="10" t="n"/>
      <c r="I86" s="11" t="n"/>
    </row>
    <row r="87">
      <c r="A87" s="7" t="n"/>
      <c r="B87" s="8" t="n"/>
      <c r="C87" s="8" t="n"/>
      <c r="D87" s="8" t="n"/>
      <c r="E87" s="8" t="n">
        <v>10</v>
      </c>
      <c r="F87" s="8" t="n">
        <v>0</v>
      </c>
      <c r="G87" s="9" t="n"/>
      <c r="H87" s="10" t="n"/>
      <c r="I87" s="11" t="n"/>
    </row>
    <row r="88">
      <c r="A88" s="7" t="n"/>
      <c r="B88" s="8" t="n"/>
      <c r="C88" s="8" t="n"/>
      <c r="D88" s="8" t="n"/>
      <c r="E88" s="8" t="n">
        <v>9</v>
      </c>
      <c r="F88" s="8" t="n">
        <v>0</v>
      </c>
      <c r="G88" s="9" t="n"/>
      <c r="H88" s="10" t="n"/>
      <c r="I88" s="11" t="n"/>
    </row>
    <row r="89">
      <c r="A89" s="7" t="n"/>
      <c r="B89" s="8" t="n"/>
      <c r="C89" s="8" t="n"/>
      <c r="D89" s="8" t="n"/>
      <c r="E89" s="8" t="n">
        <v>8</v>
      </c>
      <c r="F89" s="8" t="n">
        <v>0</v>
      </c>
      <c r="G89" s="9" t="n"/>
      <c r="H89" s="10" t="n"/>
      <c r="I89" s="11" t="n"/>
    </row>
    <row r="90">
      <c r="A90" s="7" t="n"/>
      <c r="B90" s="8" t="n"/>
      <c r="C90" s="8" t="n"/>
      <c r="D90" s="8" t="str">
        <f>DEC2HEX(128*F90+64*F91+32*F92+16*F93+8*F94+4*F95+2*F96+1*F97,2)&amp;"h"</f>
        <v>10h</v>
      </c>
      <c r="E90" s="8" t="n">
        <v>7</v>
      </c>
      <c r="F90" s="8" t="n">
        <v>0</v>
      </c>
      <c r="G90" s="12" t="inlineStr">
        <is>
          <t>spi_clock_divider</t>
        </is>
      </c>
      <c r="H90" s="13" t="inlineStr">
        <is>
          <t>RW</t>
        </is>
      </c>
      <c r="I90" s="14" t="inlineStr">
        <is>
          <t>SPI半周期对应的AXI时钟周期数，小于2时按2处理</t>
        </is>
      </c>
    </row>
    <row r="91">
      <c r="A91" s="7" t="n"/>
      <c r="B91" s="8" t="n"/>
      <c r="C91" s="8" t="n"/>
      <c r="D91" s="8" t="n"/>
      <c r="E91" s="8" t="n">
        <v>6</v>
      </c>
      <c r="F91" s="8" t="n">
        <v>0</v>
      </c>
      <c r="G91" s="12" t="n"/>
      <c r="H91" s="13" t="n"/>
      <c r="I91" s="14" t="n"/>
    </row>
    <row r="92">
      <c r="A92" s="7" t="n"/>
      <c r="B92" s="8" t="n"/>
      <c r="C92" s="8" t="n"/>
      <c r="D92" s="8" t="n"/>
      <c r="E92" s="8" t="n">
        <v>5</v>
      </c>
      <c r="F92" s="8" t="n">
        <v>0</v>
      </c>
      <c r="G92" s="12" t="n"/>
      <c r="H92" s="13" t="n"/>
      <c r="I92" s="14" t="n"/>
    </row>
    <row r="93">
      <c r="A93" s="7" t="n"/>
      <c r="B93" s="8" t="n"/>
      <c r="C93" s="8" t="n"/>
      <c r="D93" s="8" t="n"/>
      <c r="E93" s="8" t="n">
        <v>4</v>
      </c>
      <c r="F93" s="8" t="n">
        <v>1</v>
      </c>
      <c r="G93" s="12" t="n"/>
      <c r="H93" s="13" t="n"/>
      <c r="I93" s="14" t="n"/>
    </row>
    <row r="94">
      <c r="A94" s="7" t="n"/>
      <c r="B94" s="8" t="n"/>
      <c r="C94" s="8" t="n"/>
      <c r="D94" s="8" t="n"/>
      <c r="E94" s="8" t="n">
        <v>3</v>
      </c>
      <c r="F94" s="8" t="n">
        <v>0</v>
      </c>
      <c r="G94" s="12" t="n"/>
      <c r="H94" s="13" t="n"/>
      <c r="I94" s="14" t="n"/>
    </row>
    <row r="95">
      <c r="A95" s="7" t="n"/>
      <c r="B95" s="8" t="n"/>
      <c r="C95" s="8" t="n"/>
      <c r="D95" s="8" t="n"/>
      <c r="E95" s="8" t="n">
        <v>2</v>
      </c>
      <c r="F95" s="8" t="n">
        <v>0</v>
      </c>
      <c r="G95" s="12" t="n"/>
      <c r="H95" s="13" t="n"/>
      <c r="I95" s="14" t="n"/>
    </row>
    <row r="96">
      <c r="A96" s="7" t="n"/>
      <c r="B96" s="8" t="n"/>
      <c r="C96" s="8" t="n"/>
      <c r="D96" s="8" t="n"/>
      <c r="E96" s="8" t="n">
        <v>1</v>
      </c>
      <c r="F96" s="8" t="n">
        <v>0</v>
      </c>
      <c r="G96" s="12" t="n"/>
      <c r="H96" s="13" t="n"/>
      <c r="I96" s="14" t="n"/>
    </row>
    <row r="97">
      <c r="A97" s="15" t="n"/>
      <c r="B97" s="16" t="n"/>
      <c r="C97" s="16" t="n"/>
      <c r="D97" s="16" t="n"/>
      <c r="E97" s="16" t="n">
        <v>0</v>
      </c>
      <c r="F97" s="16" t="n">
        <v>0</v>
      </c>
      <c r="G97" s="17" t="n"/>
      <c r="H97" s="18" t="n"/>
      <c r="I97" s="19" t="n"/>
    </row>
    <row r="98">
      <c r="A98" s="20" t="inlineStr">
        <is>
          <t>SPI_STATUS</t>
        </is>
      </c>
      <c r="B98" s="21" t="str">
        <f>DEC2HEX(524,4)&amp;"h"</f>
        <v>020Ch</v>
      </c>
      <c r="C98" s="21" t="str">
        <f>LEFT(D98,2)&amp;LEFT(D106,2)&amp;LEFT(D114,2)&amp;LEFT(D122,2)&amp;"h"</f>
        <v>00000000h</v>
      </c>
      <c r="D98" s="21" t="str">
        <f>DEC2HEX(128*F98+64*F99+32*F100+16*F101+8*F102+4*F103+2*F104+1*F105,2)&amp;"h"</f>
        <v>00h</v>
      </c>
      <c r="E98" s="21" t="n">
        <v>31</v>
      </c>
      <c r="F98" s="21" t="n">
        <v>0</v>
      </c>
      <c r="G98" s="4" t="inlineStr">
        <is>
          <t>RESERVED</t>
        </is>
      </c>
      <c r="H98" s="5" t="inlineStr">
        <is>
          <t>RO</t>
        </is>
      </c>
      <c r="I98" s="6" t="inlineStr">
        <is>
          <t>Reserved; keep at reset value.</t>
        </is>
      </c>
    </row>
    <row r="99">
      <c r="A99" s="22" t="n"/>
      <c r="B99" s="23" t="n"/>
      <c r="C99" s="23" t="n"/>
      <c r="D99" s="23" t="n"/>
      <c r="E99" s="23" t="n">
        <v>30</v>
      </c>
      <c r="F99" s="23" t="n">
        <v>0</v>
      </c>
      <c r="G99" s="9" t="n"/>
      <c r="H99" s="10" t="n"/>
      <c r="I99" s="11" t="n"/>
    </row>
    <row r="100">
      <c r="A100" s="22" t="n"/>
      <c r="B100" s="23" t="n"/>
      <c r="C100" s="23" t="n"/>
      <c r="D100" s="23" t="n"/>
      <c r="E100" s="23" t="n">
        <v>29</v>
      </c>
      <c r="F100" s="23" t="n">
        <v>0</v>
      </c>
      <c r="G100" s="9" t="n"/>
      <c r="H100" s="10" t="n"/>
      <c r="I100" s="11" t="n"/>
    </row>
    <row r="101">
      <c r="A101" s="22" t="n"/>
      <c r="B101" s="23" t="n"/>
      <c r="C101" s="23" t="n"/>
      <c r="D101" s="23" t="n"/>
      <c r="E101" s="23" t="n">
        <v>28</v>
      </c>
      <c r="F101" s="23" t="n">
        <v>0</v>
      </c>
      <c r="G101" s="9" t="n"/>
      <c r="H101" s="10" t="n"/>
      <c r="I101" s="11" t="n"/>
    </row>
    <row r="102">
      <c r="A102" s="22" t="n"/>
      <c r="B102" s="23" t="n"/>
      <c r="C102" s="23" t="n"/>
      <c r="D102" s="23" t="n"/>
      <c r="E102" s="23" t="n">
        <v>27</v>
      </c>
      <c r="F102" s="23" t="n">
        <v>0</v>
      </c>
      <c r="G102" s="9" t="n"/>
      <c r="H102" s="10" t="n"/>
      <c r="I102" s="11" t="n"/>
    </row>
    <row r="103">
      <c r="A103" s="22" t="n"/>
      <c r="B103" s="23" t="n"/>
      <c r="C103" s="23" t="n"/>
      <c r="D103" s="23" t="n"/>
      <c r="E103" s="23" t="n">
        <v>26</v>
      </c>
      <c r="F103" s="23" t="n">
        <v>0</v>
      </c>
      <c r="G103" s="9" t="n"/>
      <c r="H103" s="10" t="n"/>
      <c r="I103" s="11" t="n"/>
    </row>
    <row r="104">
      <c r="A104" s="22" t="n"/>
      <c r="B104" s="23" t="n"/>
      <c r="C104" s="23" t="n"/>
      <c r="D104" s="23" t="n"/>
      <c r="E104" s="23" t="n">
        <v>25</v>
      </c>
      <c r="F104" s="23" t="n">
        <v>0</v>
      </c>
      <c r="G104" s="9" t="n"/>
      <c r="H104" s="10" t="n"/>
      <c r="I104" s="11" t="n"/>
    </row>
    <row r="105">
      <c r="A105" s="22" t="n"/>
      <c r="B105" s="23" t="n"/>
      <c r="C105" s="23" t="n"/>
      <c r="D105" s="23" t="n"/>
      <c r="E105" s="23" t="n">
        <v>24</v>
      </c>
      <c r="F105" s="23" t="n">
        <v>0</v>
      </c>
      <c r="G105" s="9" t="n"/>
      <c r="H105" s="10" t="n"/>
      <c r="I105" s="11" t="n"/>
    </row>
    <row r="106">
      <c r="A106" s="22" t="n"/>
      <c r="B106" s="23" t="n"/>
      <c r="C106" s="23" t="n"/>
      <c r="D106" s="23" t="str">
        <f>DEC2HEX(128*F106+64*F107+32*F108+16*F109+8*F110+4*F111+2*F112+1*F113,2)&amp;"h"</f>
        <v>00h</v>
      </c>
      <c r="E106" s="23" t="n">
        <v>23</v>
      </c>
      <c r="F106" s="23" t="n">
        <v>0</v>
      </c>
      <c r="G106" s="9" t="n"/>
      <c r="H106" s="10" t="n"/>
      <c r="I106" s="11" t="n"/>
    </row>
    <row r="107">
      <c r="A107" s="22" t="n"/>
      <c r="B107" s="23" t="n"/>
      <c r="C107" s="23" t="n"/>
      <c r="D107" s="23" t="n"/>
      <c r="E107" s="23" t="n">
        <v>22</v>
      </c>
      <c r="F107" s="23" t="n">
        <v>0</v>
      </c>
      <c r="G107" s="9" t="n"/>
      <c r="H107" s="10" t="n"/>
      <c r="I107" s="11" t="n"/>
    </row>
    <row r="108">
      <c r="A108" s="22" t="n"/>
      <c r="B108" s="23" t="n"/>
      <c r="C108" s="23" t="n"/>
      <c r="D108" s="23" t="n"/>
      <c r="E108" s="23" t="n">
        <v>21</v>
      </c>
      <c r="F108" s="23" t="n">
        <v>0</v>
      </c>
      <c r="G108" s="9" t="n"/>
      <c r="H108" s="10" t="n"/>
      <c r="I108" s="11" t="n"/>
    </row>
    <row r="109">
      <c r="A109" s="22" t="n"/>
      <c r="B109" s="23" t="n"/>
      <c r="C109" s="23" t="n"/>
      <c r="D109" s="23" t="n"/>
      <c r="E109" s="23" t="n">
        <v>20</v>
      </c>
      <c r="F109" s="23" t="n">
        <v>0</v>
      </c>
      <c r="G109" s="9" t="n"/>
      <c r="H109" s="10" t="n"/>
      <c r="I109" s="11" t="n"/>
    </row>
    <row r="110">
      <c r="A110" s="22" t="n"/>
      <c r="B110" s="23" t="n"/>
      <c r="C110" s="23" t="n"/>
      <c r="D110" s="23" t="n"/>
      <c r="E110" s="23" t="n">
        <v>19</v>
      </c>
      <c r="F110" s="23" t="n">
        <v>0</v>
      </c>
      <c r="G110" s="9" t="n"/>
      <c r="H110" s="10" t="n"/>
      <c r="I110" s="11" t="n"/>
    </row>
    <row r="111">
      <c r="A111" s="22" t="n"/>
      <c r="B111" s="23" t="n"/>
      <c r="C111" s="23" t="n"/>
      <c r="D111" s="23" t="n"/>
      <c r="E111" s="23" t="n">
        <v>18</v>
      </c>
      <c r="F111" s="23" t="n">
        <v>0</v>
      </c>
      <c r="G111" s="9" t="n"/>
      <c r="H111" s="10" t="n"/>
      <c r="I111" s="11" t="n"/>
    </row>
    <row r="112">
      <c r="A112" s="22" t="n"/>
      <c r="B112" s="23" t="n"/>
      <c r="C112" s="23" t="n"/>
      <c r="D112" s="23" t="n"/>
      <c r="E112" s="23" t="n">
        <v>17</v>
      </c>
      <c r="F112" s="23" t="n">
        <v>0</v>
      </c>
      <c r="G112" s="9" t="n"/>
      <c r="H112" s="10" t="n"/>
      <c r="I112" s="11" t="n"/>
    </row>
    <row r="113">
      <c r="A113" s="22" t="n"/>
      <c r="B113" s="23" t="n"/>
      <c r="C113" s="23" t="n"/>
      <c r="D113" s="23" t="n"/>
      <c r="E113" s="23" t="n">
        <v>16</v>
      </c>
      <c r="F113" s="23" t="n">
        <v>0</v>
      </c>
      <c r="G113" s="9" t="n"/>
      <c r="H113" s="10" t="n"/>
      <c r="I113" s="11" t="n"/>
    </row>
    <row r="114">
      <c r="A114" s="22" t="n"/>
      <c r="B114" s="23" t="n"/>
      <c r="C114" s="23" t="n"/>
      <c r="D114" s="23" t="str">
        <f>DEC2HEX(128*F114+64*F115+32*F116+16*F117+8*F118+4*F119+2*F120+1*F121,2)&amp;"h"</f>
        <v>00h</v>
      </c>
      <c r="E114" s="23" t="n">
        <v>15</v>
      </c>
      <c r="F114" s="23" t="n">
        <v>0</v>
      </c>
      <c r="G114" s="9" t="n"/>
      <c r="H114" s="10" t="n"/>
      <c r="I114" s="11" t="n"/>
    </row>
    <row r="115">
      <c r="A115" s="22" t="n"/>
      <c r="B115" s="23" t="n"/>
      <c r="C115" s="23" t="n"/>
      <c r="D115" s="23" t="n"/>
      <c r="E115" s="23" t="n">
        <v>14</v>
      </c>
      <c r="F115" s="23" t="n">
        <v>0</v>
      </c>
      <c r="G115" s="9" t="n"/>
      <c r="H115" s="10" t="n"/>
      <c r="I115" s="11" t="n"/>
    </row>
    <row r="116">
      <c r="A116" s="22" t="n"/>
      <c r="B116" s="23" t="n"/>
      <c r="C116" s="23" t="n"/>
      <c r="D116" s="23" t="n"/>
      <c r="E116" s="23" t="n">
        <v>13</v>
      </c>
      <c r="F116" s="23" t="n">
        <v>0</v>
      </c>
      <c r="G116" s="9" t="n"/>
      <c r="H116" s="10" t="n"/>
      <c r="I116" s="11" t="n"/>
    </row>
    <row r="117">
      <c r="A117" s="22" t="n"/>
      <c r="B117" s="23" t="n"/>
      <c r="C117" s="23" t="n"/>
      <c r="D117" s="23" t="n"/>
      <c r="E117" s="23" t="n">
        <v>12</v>
      </c>
      <c r="F117" s="23" t="n">
        <v>0</v>
      </c>
      <c r="G117" s="9" t="n"/>
      <c r="H117" s="10" t="n"/>
      <c r="I117" s="11" t="n"/>
    </row>
    <row r="118">
      <c r="A118" s="22" t="n"/>
      <c r="B118" s="23" t="n"/>
      <c r="C118" s="23" t="n"/>
      <c r="D118" s="23" t="n"/>
      <c r="E118" s="23" t="n">
        <v>11</v>
      </c>
      <c r="F118" s="23" t="n">
        <v>0</v>
      </c>
      <c r="G118" s="9" t="n"/>
      <c r="H118" s="10" t="n"/>
      <c r="I118" s="11" t="n"/>
    </row>
    <row r="119">
      <c r="A119" s="22" t="n"/>
      <c r="B119" s="23" t="n"/>
      <c r="C119" s="23" t="n"/>
      <c r="D119" s="23" t="n"/>
      <c r="E119" s="23" t="n">
        <v>10</v>
      </c>
      <c r="F119" s="23" t="n">
        <v>0</v>
      </c>
      <c r="G119" s="9" t="n"/>
      <c r="H119" s="10" t="n"/>
      <c r="I119" s="11" t="n"/>
    </row>
    <row r="120">
      <c r="A120" s="22" t="n"/>
      <c r="B120" s="23" t="n"/>
      <c r="C120" s="23" t="n"/>
      <c r="D120" s="23" t="n"/>
      <c r="E120" s="23" t="n">
        <v>9</v>
      </c>
      <c r="F120" s="23" t="n">
        <v>0</v>
      </c>
      <c r="G120" s="9" t="n"/>
      <c r="H120" s="10" t="n"/>
      <c r="I120" s="11" t="n"/>
    </row>
    <row r="121">
      <c r="A121" s="22" t="n"/>
      <c r="B121" s="23" t="n"/>
      <c r="C121" s="23" t="n"/>
      <c r="D121" s="23" t="n"/>
      <c r="E121" s="23" t="n">
        <v>8</v>
      </c>
      <c r="F121" s="23" t="n">
        <v>0</v>
      </c>
      <c r="G121" s="9" t="n"/>
      <c r="H121" s="10" t="n"/>
      <c r="I121" s="11" t="n"/>
    </row>
    <row r="122">
      <c r="A122" s="22" t="n"/>
      <c r="B122" s="23" t="n"/>
      <c r="C122" s="23" t="n"/>
      <c r="D122" s="23" t="str">
        <f>DEC2HEX(128*F122+64*F123+32*F124+16*F125+8*F126+4*F127+2*F128+1*F129,2)&amp;"h"</f>
        <v>00h</v>
      </c>
      <c r="E122" s="23" t="n">
        <v>7</v>
      </c>
      <c r="F122" s="23" t="n">
        <v>0</v>
      </c>
      <c r="G122" s="9" t="n"/>
      <c r="H122" s="10" t="n"/>
      <c r="I122" s="11" t="n"/>
    </row>
    <row r="123">
      <c r="A123" s="22" t="n"/>
      <c r="B123" s="23" t="n"/>
      <c r="C123" s="23" t="n"/>
      <c r="D123" s="23" t="n"/>
      <c r="E123" s="23" t="n">
        <v>6</v>
      </c>
      <c r="F123" s="23" t="n">
        <v>0</v>
      </c>
      <c r="G123" s="9" t="n"/>
      <c r="H123" s="10" t="n"/>
      <c r="I123" s="11" t="n"/>
    </row>
    <row r="124">
      <c r="A124" s="22" t="n"/>
      <c r="B124" s="23" t="n"/>
      <c r="C124" s="23" t="n"/>
      <c r="D124" s="23" t="n"/>
      <c r="E124" s="23" t="n">
        <v>5</v>
      </c>
      <c r="F124" s="23" t="n">
        <v>0</v>
      </c>
      <c r="G124" s="9" t="n"/>
      <c r="H124" s="10" t="n"/>
      <c r="I124" s="11" t="n"/>
    </row>
    <row r="125">
      <c r="A125" s="22" t="n"/>
      <c r="B125" s="23" t="n"/>
      <c r="C125" s="23" t="n"/>
      <c r="D125" s="23" t="n"/>
      <c r="E125" s="23" t="n">
        <v>4</v>
      </c>
      <c r="F125" s="23" t="n">
        <v>0</v>
      </c>
      <c r="G125" s="9" t="n"/>
      <c r="H125" s="10" t="n"/>
      <c r="I125" s="11" t="n"/>
    </row>
    <row r="126">
      <c r="A126" s="22" t="n"/>
      <c r="B126" s="23" t="n"/>
      <c r="C126" s="23" t="n"/>
      <c r="D126" s="23" t="n"/>
      <c r="E126" s="23" t="n">
        <v>3</v>
      </c>
      <c r="F126" s="23" t="n">
        <v>0</v>
      </c>
      <c r="G126" s="9" t="n"/>
      <c r="H126" s="10" t="n"/>
      <c r="I126" s="11" t="n"/>
    </row>
    <row r="127">
      <c r="A127" s="22" t="n"/>
      <c r="B127" s="23" t="n"/>
      <c r="C127" s="23" t="n"/>
      <c r="D127" s="23" t="n"/>
      <c r="E127" s="23" t="n">
        <v>2</v>
      </c>
      <c r="F127" s="23" t="n">
        <v>0</v>
      </c>
      <c r="G127" s="26" t="inlineStr">
        <is>
          <t>spi_address_valid</t>
        </is>
      </c>
      <c r="H127" s="27" t="inlineStr">
        <is>
          <t>RO</t>
        </is>
      </c>
      <c r="I127" s="28" t="inlineStr">
        <is>
          <t>软件SPI请求仍在等待或执行</t>
        </is>
      </c>
    </row>
    <row r="128">
      <c r="A128" s="22" t="n"/>
      <c r="B128" s="23" t="n"/>
      <c r="C128" s="23" t="n"/>
      <c r="D128" s="23" t="n"/>
      <c r="E128" s="23" t="n">
        <v>1</v>
      </c>
      <c r="F128" s="23" t="n">
        <v>0</v>
      </c>
      <c r="G128" s="26" t="inlineStr">
        <is>
          <t>spi_busy</t>
        </is>
      </c>
      <c r="H128" s="27" t="inlineStr">
        <is>
          <t>RO</t>
        </is>
      </c>
      <c r="I128" s="28" t="inlineStr">
        <is>
          <t>上电初始化或SPI访问正在进行</t>
        </is>
      </c>
    </row>
    <row r="129">
      <c r="A129" s="24" t="n"/>
      <c r="B129" s="25" t="n"/>
      <c r="C129" s="25" t="n"/>
      <c r="D129" s="25" t="n"/>
      <c r="E129" s="25" t="n">
        <v>0</v>
      </c>
      <c r="F129" s="25" t="n">
        <v>0</v>
      </c>
      <c r="G129" s="29" t="inlineStr">
        <is>
          <t>spi_init_done</t>
        </is>
      </c>
      <c r="H129" s="30" t="inlineStr">
        <is>
          <t>RO</t>
        </is>
      </c>
      <c r="I129" s="31" t="inlineStr">
        <is>
          <t>ADS4229上电寄存器初始化已完成</t>
        </is>
      </c>
    </row>
  </sheetData>
  <autoFilter ref="A1:I129"/>
  <mergeCells count="52">
    <mergeCell ref="D74:D81"/>
    <mergeCell ref="I50:I57"/>
    <mergeCell ref="C66:C97"/>
    <mergeCell ref="D26:D33"/>
    <mergeCell ref="D82:D89"/>
    <mergeCell ref="A34:A65"/>
    <mergeCell ref="I66:I89"/>
    <mergeCell ref="C34:C65"/>
    <mergeCell ref="G90:G97"/>
    <mergeCell ref="I90:I97"/>
    <mergeCell ref="D10:D17"/>
    <mergeCell ref="D50:D57"/>
    <mergeCell ref="G66:G89"/>
    <mergeCell ref="I98:I126"/>
    <mergeCell ref="H50:H57"/>
    <mergeCell ref="A98:A129"/>
    <mergeCell ref="H26:H33"/>
    <mergeCell ref="B66:B97"/>
    <mergeCell ref="C98:C129"/>
    <mergeCell ref="I26:I33"/>
    <mergeCell ref="D34:D41"/>
    <mergeCell ref="H2:H23"/>
    <mergeCell ref="H58:H65"/>
    <mergeCell ref="D90:D97"/>
    <mergeCell ref="I34:I49"/>
    <mergeCell ref="D2:D9"/>
    <mergeCell ref="H66:H89"/>
    <mergeCell ref="A66:A97"/>
    <mergeCell ref="B2:B33"/>
    <mergeCell ref="B98:B129"/>
    <mergeCell ref="D66:D73"/>
    <mergeCell ref="I2:I23"/>
    <mergeCell ref="I58:I65"/>
    <mergeCell ref="D18:D25"/>
    <mergeCell ref="D106:D113"/>
    <mergeCell ref="D122:D129"/>
    <mergeCell ref="H34:H49"/>
    <mergeCell ref="D58:D65"/>
    <mergeCell ref="D114:D121"/>
    <mergeCell ref="A2:A33"/>
    <mergeCell ref="G26:G33"/>
    <mergeCell ref="B34:B65"/>
    <mergeCell ref="C2:C33"/>
    <mergeCell ref="G58:G65"/>
    <mergeCell ref="H90:H97"/>
    <mergeCell ref="G98:G126"/>
    <mergeCell ref="G2:G23"/>
    <mergeCell ref="G34:G49"/>
    <mergeCell ref="H98:H126"/>
    <mergeCell ref="D42:D49"/>
    <mergeCell ref="D98:D105"/>
    <mergeCell ref="G50:G57"/>
  </mergeCells>
  <pageMargins left="0.25" right="0.2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6" customWidth="1" min="3" max="3"/>
    <col width="15" customWidth="1" min="4" max="4"/>
    <col width="8" customWidth="1" min="5" max="5"/>
    <col width="14" customWidth="1" min="6" max="6"/>
    <col width="24" customWidth="1" min="7" max="7"/>
    <col width="15" customWidth="1" min="8" max="8"/>
    <col width="52" customWidth="1" min="9" max="9"/>
  </cols>
  <sheetData>
    <row r="1" ht="32" customHeight="1">
      <c r="A1" s="1" t="inlineStr">
        <is>
          <t>Register Name</t>
        </is>
      </c>
      <c r="B1" s="1" t="inlineStr">
        <is>
          <t>Offset (hex)</t>
        </is>
      </c>
      <c r="C1" s="1" t="inlineStr">
        <is>
          <t>Reg Value
(hex)</t>
        </is>
      </c>
      <c r="D1" s="1" t="inlineStr">
        <is>
          <t>Byte Value
(hex)</t>
        </is>
      </c>
      <c r="E1" s="1" t="inlineStr">
        <is>
          <t>Bits</t>
        </is>
      </c>
      <c r="F1" s="1" t="inlineStr">
        <is>
          <t>Bit Value
(hex)</t>
        </is>
      </c>
      <c r="G1" s="1" t="inlineStr">
        <is>
          <t>Field Name</t>
        </is>
      </c>
      <c r="H1" s="1" t="inlineStr">
        <is>
          <t>Memory Access</t>
        </is>
      </c>
      <c r="I1" s="1" t="inlineStr">
        <is>
          <t>Description</t>
        </is>
      </c>
    </row>
    <row r="2">
      <c r="A2" s="2" t="inlineStr">
        <is>
          <t>GPO_CTRL</t>
        </is>
      </c>
      <c r="B2" s="3" t="str">
        <f>DEC2HEX(768,4)&amp;"h"</f>
        <v>0300h</v>
      </c>
      <c r="C2" s="3" t="str">
        <f>LEFT(D2,2)&amp;LEFT(D10,2)&amp;LEFT(D18,2)&amp;LEFT(D26,2)&amp;"h"</f>
        <v>00000000h</v>
      </c>
      <c r="D2" s="3" t="str">
        <f>DEC2HEX(128*F2+64*F3+32*F4+16*F5+8*F6+4*F7+2*F8+1*F9,2)&amp;"h"</f>
        <v>00h</v>
      </c>
      <c r="E2" s="3" t="n">
        <v>31</v>
      </c>
      <c r="F2" s="3" t="n">
        <v>0</v>
      </c>
      <c r="G2" s="4" t="inlineStr">
        <is>
          <t>RESERVED</t>
        </is>
      </c>
      <c r="H2" s="5" t="inlineStr">
        <is>
          <t>RO</t>
        </is>
      </c>
      <c r="I2" s="6" t="inlineStr">
        <is>
          <t>Reserved; keep at reset value.</t>
        </is>
      </c>
    </row>
    <row r="3">
      <c r="A3" s="7" t="n"/>
      <c r="B3" s="8" t="n"/>
      <c r="C3" s="8" t="n"/>
      <c r="D3" s="8" t="n"/>
      <c r="E3" s="8" t="n">
        <v>30</v>
      </c>
      <c r="F3" s="8" t="n">
        <v>0</v>
      </c>
      <c r="G3" s="9" t="n"/>
      <c r="H3" s="10" t="n"/>
      <c r="I3" s="11" t="n"/>
    </row>
    <row r="4">
      <c r="A4" s="7" t="n"/>
      <c r="B4" s="8" t="n"/>
      <c r="C4" s="8" t="n"/>
      <c r="D4" s="8" t="n"/>
      <c r="E4" s="8" t="n">
        <v>29</v>
      </c>
      <c r="F4" s="8" t="n">
        <v>0</v>
      </c>
      <c r="G4" s="9" t="n"/>
      <c r="H4" s="10" t="n"/>
      <c r="I4" s="11" t="n"/>
    </row>
    <row r="5">
      <c r="A5" s="7" t="n"/>
      <c r="B5" s="8" t="n"/>
      <c r="C5" s="8" t="n"/>
      <c r="D5" s="8" t="n"/>
      <c r="E5" s="8" t="n">
        <v>28</v>
      </c>
      <c r="F5" s="8" t="n">
        <v>0</v>
      </c>
      <c r="G5" s="9" t="n"/>
      <c r="H5" s="10" t="n"/>
      <c r="I5" s="11" t="n"/>
    </row>
    <row r="6">
      <c r="A6" s="7" t="n"/>
      <c r="B6" s="8" t="n"/>
      <c r="C6" s="8" t="n"/>
      <c r="D6" s="8" t="n"/>
      <c r="E6" s="8" t="n">
        <v>27</v>
      </c>
      <c r="F6" s="8" t="n">
        <v>0</v>
      </c>
      <c r="G6" s="9" t="n"/>
      <c r="H6" s="10" t="n"/>
      <c r="I6" s="11" t="n"/>
    </row>
    <row r="7">
      <c r="A7" s="7" t="n"/>
      <c r="B7" s="8" t="n"/>
      <c r="C7" s="8" t="n"/>
      <c r="D7" s="8" t="n"/>
      <c r="E7" s="8" t="n">
        <v>26</v>
      </c>
      <c r="F7" s="8" t="n">
        <v>0</v>
      </c>
      <c r="G7" s="9" t="n"/>
      <c r="H7" s="10" t="n"/>
      <c r="I7" s="11" t="n"/>
    </row>
    <row r="8">
      <c r="A8" s="7" t="n"/>
      <c r="B8" s="8" t="n"/>
      <c r="C8" s="8" t="n"/>
      <c r="D8" s="8" t="n"/>
      <c r="E8" s="8" t="n">
        <v>25</v>
      </c>
      <c r="F8" s="8" t="n">
        <v>0</v>
      </c>
      <c r="G8" s="9" t="n"/>
      <c r="H8" s="10" t="n"/>
      <c r="I8" s="11" t="n"/>
    </row>
    <row r="9">
      <c r="A9" s="7" t="n"/>
      <c r="B9" s="8" t="n"/>
      <c r="C9" s="8" t="n"/>
      <c r="D9" s="8" t="n"/>
      <c r="E9" s="8" t="n">
        <v>24</v>
      </c>
      <c r="F9" s="8" t="n">
        <v>0</v>
      </c>
      <c r="G9" s="9" t="n"/>
      <c r="H9" s="10" t="n"/>
      <c r="I9" s="11" t="n"/>
    </row>
    <row r="10">
      <c r="A10" s="7" t="n"/>
      <c r="B10" s="8" t="n"/>
      <c r="C10" s="8" t="n"/>
      <c r="D10" s="8" t="str">
        <f>DEC2HEX(128*F10+64*F11+32*F12+16*F13+8*F14+4*F15+2*F16+1*F17,2)&amp;"h"</f>
        <v>00h</v>
      </c>
      <c r="E10" s="8" t="n">
        <v>23</v>
      </c>
      <c r="F10" s="8" t="n">
        <v>0</v>
      </c>
      <c r="G10" s="9" t="n"/>
      <c r="H10" s="10" t="n"/>
      <c r="I10" s="11" t="n"/>
    </row>
    <row r="11">
      <c r="A11" s="7" t="n"/>
      <c r="B11" s="8" t="n"/>
      <c r="C11" s="8" t="n"/>
      <c r="D11" s="8" t="n"/>
      <c r="E11" s="8" t="n">
        <v>22</v>
      </c>
      <c r="F11" s="8" t="n">
        <v>0</v>
      </c>
      <c r="G11" s="9" t="n"/>
      <c r="H11" s="10" t="n"/>
      <c r="I11" s="11" t="n"/>
    </row>
    <row r="12">
      <c r="A12" s="7" t="n"/>
      <c r="B12" s="8" t="n"/>
      <c r="C12" s="8" t="n"/>
      <c r="D12" s="8" t="n"/>
      <c r="E12" s="8" t="n">
        <v>21</v>
      </c>
      <c r="F12" s="8" t="n">
        <v>0</v>
      </c>
      <c r="G12" s="9" t="n"/>
      <c r="H12" s="10" t="n"/>
      <c r="I12" s="11" t="n"/>
    </row>
    <row r="13">
      <c r="A13" s="7" t="n"/>
      <c r="B13" s="8" t="n"/>
      <c r="C13" s="8" t="n"/>
      <c r="D13" s="8" t="n"/>
      <c r="E13" s="8" t="n">
        <v>20</v>
      </c>
      <c r="F13" s="8" t="n">
        <v>0</v>
      </c>
      <c r="G13" s="9" t="n"/>
      <c r="H13" s="10" t="n"/>
      <c r="I13" s="11" t="n"/>
    </row>
    <row r="14">
      <c r="A14" s="7" t="n"/>
      <c r="B14" s="8" t="n"/>
      <c r="C14" s="8" t="n"/>
      <c r="D14" s="8" t="n"/>
      <c r="E14" s="8" t="n">
        <v>19</v>
      </c>
      <c r="F14" s="8" t="n">
        <v>0</v>
      </c>
      <c r="G14" s="9" t="n"/>
      <c r="H14" s="10" t="n"/>
      <c r="I14" s="11" t="n"/>
    </row>
    <row r="15">
      <c r="A15" s="7" t="n"/>
      <c r="B15" s="8" t="n"/>
      <c r="C15" s="8" t="n"/>
      <c r="D15" s="8" t="n"/>
      <c r="E15" s="8" t="n">
        <v>18</v>
      </c>
      <c r="F15" s="8" t="n">
        <v>0</v>
      </c>
      <c r="G15" s="9" t="n"/>
      <c r="H15" s="10" t="n"/>
      <c r="I15" s="11" t="n"/>
    </row>
    <row r="16">
      <c r="A16" s="7" t="n"/>
      <c r="B16" s="8" t="n"/>
      <c r="C16" s="8" t="n"/>
      <c r="D16" s="8" t="n"/>
      <c r="E16" s="8" t="n">
        <v>17</v>
      </c>
      <c r="F16" s="8" t="n">
        <v>0</v>
      </c>
      <c r="G16" s="9" t="n"/>
      <c r="H16" s="10" t="n"/>
      <c r="I16" s="11" t="n"/>
    </row>
    <row r="17">
      <c r="A17" s="7" t="n"/>
      <c r="B17" s="8" t="n"/>
      <c r="C17" s="8" t="n"/>
      <c r="D17" s="8" t="n"/>
      <c r="E17" s="8" t="n">
        <v>16</v>
      </c>
      <c r="F17" s="8" t="n">
        <v>0</v>
      </c>
      <c r="G17" s="9" t="n"/>
      <c r="H17" s="10" t="n"/>
      <c r="I17" s="11" t="n"/>
    </row>
    <row r="18">
      <c r="A18" s="7" t="n"/>
      <c r="B18" s="8" t="n"/>
      <c r="C18" s="8" t="n"/>
      <c r="D18" s="8" t="str">
        <f>DEC2HEX(128*F18+64*F19+32*F20+16*F21+8*F22+4*F23+2*F24+1*F25,2)&amp;"h"</f>
        <v>00h</v>
      </c>
      <c r="E18" s="8" t="n">
        <v>15</v>
      </c>
      <c r="F18" s="8" t="n">
        <v>0</v>
      </c>
      <c r="G18" s="9" t="n"/>
      <c r="H18" s="10" t="n"/>
      <c r="I18" s="11" t="n"/>
    </row>
    <row r="19">
      <c r="A19" s="7" t="n"/>
      <c r="B19" s="8" t="n"/>
      <c r="C19" s="8" t="n"/>
      <c r="D19" s="8" t="n"/>
      <c r="E19" s="8" t="n">
        <v>14</v>
      </c>
      <c r="F19" s="8" t="n">
        <v>0</v>
      </c>
      <c r="G19" s="9" t="n"/>
      <c r="H19" s="10" t="n"/>
      <c r="I19" s="11" t="n"/>
    </row>
    <row r="20">
      <c r="A20" s="7" t="n"/>
      <c r="B20" s="8" t="n"/>
      <c r="C20" s="8" t="n"/>
      <c r="D20" s="8" t="n"/>
      <c r="E20" s="8" t="n">
        <v>13</v>
      </c>
      <c r="F20" s="8" t="n">
        <v>0</v>
      </c>
      <c r="G20" s="9" t="n"/>
      <c r="H20" s="10" t="n"/>
      <c r="I20" s="11" t="n"/>
    </row>
    <row r="21">
      <c r="A21" s="7" t="n"/>
      <c r="B21" s="8" t="n"/>
      <c r="C21" s="8" t="n"/>
      <c r="D21" s="8" t="n"/>
      <c r="E21" s="8" t="n">
        <v>12</v>
      </c>
      <c r="F21" s="8" t="n">
        <v>0</v>
      </c>
      <c r="G21" s="9" t="n"/>
      <c r="H21" s="10" t="n"/>
      <c r="I21" s="11" t="n"/>
    </row>
    <row r="22">
      <c r="A22" s="7" t="n"/>
      <c r="B22" s="8" t="n"/>
      <c r="C22" s="8" t="n"/>
      <c r="D22" s="8" t="n"/>
      <c r="E22" s="8" t="n">
        <v>11</v>
      </c>
      <c r="F22" s="8" t="n">
        <v>0</v>
      </c>
      <c r="G22" s="9" t="n"/>
      <c r="H22" s="10" t="n"/>
      <c r="I22" s="11" t="n"/>
    </row>
    <row r="23">
      <c r="A23" s="7" t="n"/>
      <c r="B23" s="8" t="n"/>
      <c r="C23" s="8" t="n"/>
      <c r="D23" s="8" t="n"/>
      <c r="E23" s="8" t="n">
        <v>10</v>
      </c>
      <c r="F23" s="8" t="n">
        <v>0</v>
      </c>
      <c r="G23" s="9" t="n"/>
      <c r="H23" s="10" t="n"/>
      <c r="I23" s="11" t="n"/>
    </row>
    <row r="24">
      <c r="A24" s="7" t="n"/>
      <c r="B24" s="8" t="n"/>
      <c r="C24" s="8" t="n"/>
      <c r="D24" s="8" t="n"/>
      <c r="E24" s="8" t="n">
        <v>9</v>
      </c>
      <c r="F24" s="8" t="n">
        <v>0</v>
      </c>
      <c r="G24" s="9" t="n"/>
      <c r="H24" s="10" t="n"/>
      <c r="I24" s="11" t="n"/>
    </row>
    <row r="25">
      <c r="A25" s="7" t="n"/>
      <c r="B25" s="8" t="n"/>
      <c r="C25" s="8" t="n"/>
      <c r="D25" s="8" t="n"/>
      <c r="E25" s="8" t="n">
        <v>8</v>
      </c>
      <c r="F25" s="8" t="n">
        <v>0</v>
      </c>
      <c r="G25" s="9" t="n"/>
      <c r="H25" s="10" t="n"/>
      <c r="I25" s="11" t="n"/>
    </row>
    <row r="26">
      <c r="A26" s="7" t="n"/>
      <c r="B26" s="8" t="n"/>
      <c r="C26" s="8" t="n"/>
      <c r="D26" s="8" t="str">
        <f>DEC2HEX(128*F26+64*F27+32*F28+16*F29+8*F30+4*F31+2*F32+1*F33,2)&amp;"h"</f>
        <v>00h</v>
      </c>
      <c r="E26" s="8" t="n">
        <v>7</v>
      </c>
      <c r="F26" s="8" t="n">
        <v>0</v>
      </c>
      <c r="G26" s="12" t="inlineStr">
        <is>
          <t>gpo_value</t>
        </is>
      </c>
      <c r="H26" s="13" t="inlineStr">
        <is>
          <t>RW</t>
        </is>
      </c>
      <c r="I26" s="14" t="inlineStr">
        <is>
          <t>gpo 输出值</t>
        </is>
      </c>
    </row>
    <row r="27">
      <c r="A27" s="7" t="n"/>
      <c r="B27" s="8" t="n"/>
      <c r="C27" s="8" t="n"/>
      <c r="D27" s="8" t="n"/>
      <c r="E27" s="8" t="n">
        <v>6</v>
      </c>
      <c r="F27" s="8" t="n">
        <v>0</v>
      </c>
      <c r="G27" s="12" t="n"/>
      <c r="H27" s="13" t="n"/>
      <c r="I27" s="14" t="n"/>
    </row>
    <row r="28">
      <c r="A28" s="7" t="n"/>
      <c r="B28" s="8" t="n"/>
      <c r="C28" s="8" t="n"/>
      <c r="D28" s="8" t="n"/>
      <c r="E28" s="8" t="n">
        <v>5</v>
      </c>
      <c r="F28" s="8" t="n">
        <v>0</v>
      </c>
      <c r="G28" s="12" t="n"/>
      <c r="H28" s="13" t="n"/>
      <c r="I28" s="14" t="n"/>
    </row>
    <row r="29">
      <c r="A29" s="7" t="n"/>
      <c r="B29" s="8" t="n"/>
      <c r="C29" s="8" t="n"/>
      <c r="D29" s="8" t="n"/>
      <c r="E29" s="8" t="n">
        <v>4</v>
      </c>
      <c r="F29" s="8" t="n">
        <v>0</v>
      </c>
      <c r="G29" s="12" t="n"/>
      <c r="H29" s="13" t="n"/>
      <c r="I29" s="14" t="n"/>
    </row>
    <row r="30">
      <c r="A30" s="7" t="n"/>
      <c r="B30" s="8" t="n"/>
      <c r="C30" s="8" t="n"/>
      <c r="D30" s="8" t="n"/>
      <c r="E30" s="8" t="n">
        <v>3</v>
      </c>
      <c r="F30" s="8" t="n">
        <v>0</v>
      </c>
      <c r="G30" s="12" t="n"/>
      <c r="H30" s="13" t="n"/>
      <c r="I30" s="14" t="n"/>
    </row>
    <row r="31">
      <c r="A31" s="7" t="n"/>
      <c r="B31" s="8" t="n"/>
      <c r="C31" s="8" t="n"/>
      <c r="D31" s="8" t="n"/>
      <c r="E31" s="8" t="n">
        <v>2</v>
      </c>
      <c r="F31" s="8" t="n">
        <v>0</v>
      </c>
      <c r="G31" s="12" t="n"/>
      <c r="H31" s="13" t="n"/>
      <c r="I31" s="14" t="n"/>
    </row>
    <row r="32">
      <c r="A32" s="7" t="n"/>
      <c r="B32" s="8" t="n"/>
      <c r="C32" s="8" t="n"/>
      <c r="D32" s="8" t="n"/>
      <c r="E32" s="8" t="n">
        <v>1</v>
      </c>
      <c r="F32" s="8" t="n">
        <v>0</v>
      </c>
      <c r="G32" s="12" t="n"/>
      <c r="H32" s="13" t="n"/>
      <c r="I32" s="14" t="n"/>
    </row>
    <row r="33">
      <c r="A33" s="15" t="n"/>
      <c r="B33" s="16" t="n"/>
      <c r="C33" s="16" t="n"/>
      <c r="D33" s="16" t="n"/>
      <c r="E33" s="16" t="n">
        <v>0</v>
      </c>
      <c r="F33" s="16" t="n">
        <v>0</v>
      </c>
      <c r="G33" s="17" t="n"/>
      <c r="H33" s="18" t="n"/>
      <c r="I33" s="19" t="n"/>
    </row>
    <row r="34">
      <c r="A34" s="20" t="inlineStr">
        <is>
          <t>ADC_POWER_RESET_CTRL</t>
        </is>
      </c>
      <c r="B34" s="21" t="str">
        <f>DEC2HEX(772,4)&amp;"h"</f>
        <v>0304h</v>
      </c>
      <c r="C34" s="21" t="str">
        <f>LEFT(D34,2)&amp;LEFT(D42,2)&amp;LEFT(D50,2)&amp;LEFT(D58,2)&amp;"h"</f>
        <v>00000002h</v>
      </c>
      <c r="D34" s="21" t="str">
        <f>DEC2HEX(128*F34+64*F35+32*F36+16*F37+8*F38+4*F39+2*F40+1*F41,2)&amp;"h"</f>
        <v>00h</v>
      </c>
      <c r="E34" s="21" t="n">
        <v>31</v>
      </c>
      <c r="F34" s="21" t="n">
        <v>0</v>
      </c>
      <c r="G34" s="4" t="inlineStr">
        <is>
          <t>RESERVED</t>
        </is>
      </c>
      <c r="H34" s="5" t="inlineStr">
        <is>
          <t>RO</t>
        </is>
      </c>
      <c r="I34" s="6" t="inlineStr">
        <is>
          <t>Reserved; keep at reset value.</t>
        </is>
      </c>
    </row>
    <row r="35">
      <c r="A35" s="22" t="n"/>
      <c r="B35" s="23" t="n"/>
      <c r="C35" s="23" t="n"/>
      <c r="D35" s="23" t="n"/>
      <c r="E35" s="23" t="n">
        <v>30</v>
      </c>
      <c r="F35" s="23" t="n">
        <v>0</v>
      </c>
      <c r="G35" s="9" t="n"/>
      <c r="H35" s="10" t="n"/>
      <c r="I35" s="11" t="n"/>
    </row>
    <row r="36">
      <c r="A36" s="22" t="n"/>
      <c r="B36" s="23" t="n"/>
      <c r="C36" s="23" t="n"/>
      <c r="D36" s="23" t="n"/>
      <c r="E36" s="23" t="n">
        <v>29</v>
      </c>
      <c r="F36" s="23" t="n">
        <v>0</v>
      </c>
      <c r="G36" s="9" t="n"/>
      <c r="H36" s="10" t="n"/>
      <c r="I36" s="11" t="n"/>
    </row>
    <row r="37">
      <c r="A37" s="22" t="n"/>
      <c r="B37" s="23" t="n"/>
      <c r="C37" s="23" t="n"/>
      <c r="D37" s="23" t="n"/>
      <c r="E37" s="23" t="n">
        <v>28</v>
      </c>
      <c r="F37" s="23" t="n">
        <v>0</v>
      </c>
      <c r="G37" s="9" t="n"/>
      <c r="H37" s="10" t="n"/>
      <c r="I37" s="11" t="n"/>
    </row>
    <row r="38">
      <c r="A38" s="22" t="n"/>
      <c r="B38" s="23" t="n"/>
      <c r="C38" s="23" t="n"/>
      <c r="D38" s="23" t="n"/>
      <c r="E38" s="23" t="n">
        <v>27</v>
      </c>
      <c r="F38" s="23" t="n">
        <v>0</v>
      </c>
      <c r="G38" s="9" t="n"/>
      <c r="H38" s="10" t="n"/>
      <c r="I38" s="11" t="n"/>
    </row>
    <row r="39">
      <c r="A39" s="22" t="n"/>
      <c r="B39" s="23" t="n"/>
      <c r="C39" s="23" t="n"/>
      <c r="D39" s="23" t="n"/>
      <c r="E39" s="23" t="n">
        <v>26</v>
      </c>
      <c r="F39" s="23" t="n">
        <v>0</v>
      </c>
      <c r="G39" s="9" t="n"/>
      <c r="H39" s="10" t="n"/>
      <c r="I39" s="11" t="n"/>
    </row>
    <row r="40">
      <c r="A40" s="22" t="n"/>
      <c r="B40" s="23" t="n"/>
      <c r="C40" s="23" t="n"/>
      <c r="D40" s="23" t="n"/>
      <c r="E40" s="23" t="n">
        <v>25</v>
      </c>
      <c r="F40" s="23" t="n">
        <v>0</v>
      </c>
      <c r="G40" s="9" t="n"/>
      <c r="H40" s="10" t="n"/>
      <c r="I40" s="11" t="n"/>
    </row>
    <row r="41">
      <c r="A41" s="22" t="n"/>
      <c r="B41" s="23" t="n"/>
      <c r="C41" s="23" t="n"/>
      <c r="D41" s="23" t="n"/>
      <c r="E41" s="23" t="n">
        <v>24</v>
      </c>
      <c r="F41" s="23" t="n">
        <v>0</v>
      </c>
      <c r="G41" s="9" t="n"/>
      <c r="H41" s="10" t="n"/>
      <c r="I41" s="11" t="n"/>
    </row>
    <row r="42">
      <c r="A42" s="22" t="n"/>
      <c r="B42" s="23" t="n"/>
      <c r="C42" s="23" t="n"/>
      <c r="D42" s="23" t="str">
        <f>DEC2HEX(128*F42+64*F43+32*F44+16*F45+8*F46+4*F47+2*F48+1*F49,2)&amp;"h"</f>
        <v>00h</v>
      </c>
      <c r="E42" s="23" t="n">
        <v>23</v>
      </c>
      <c r="F42" s="23" t="n">
        <v>0</v>
      </c>
      <c r="G42" s="9" t="n"/>
      <c r="H42" s="10" t="n"/>
      <c r="I42" s="11" t="n"/>
    </row>
    <row r="43">
      <c r="A43" s="22" t="n"/>
      <c r="B43" s="23" t="n"/>
      <c r="C43" s="23" t="n"/>
      <c r="D43" s="23" t="n"/>
      <c r="E43" s="23" t="n">
        <v>22</v>
      </c>
      <c r="F43" s="23" t="n">
        <v>0</v>
      </c>
      <c r="G43" s="9" t="n"/>
      <c r="H43" s="10" t="n"/>
      <c r="I43" s="11" t="n"/>
    </row>
    <row r="44">
      <c r="A44" s="22" t="n"/>
      <c r="B44" s="23" t="n"/>
      <c r="C44" s="23" t="n"/>
      <c r="D44" s="23" t="n"/>
      <c r="E44" s="23" t="n">
        <v>21</v>
      </c>
      <c r="F44" s="23" t="n">
        <v>0</v>
      </c>
      <c r="G44" s="9" t="n"/>
      <c r="H44" s="10" t="n"/>
      <c r="I44" s="11" t="n"/>
    </row>
    <row r="45">
      <c r="A45" s="22" t="n"/>
      <c r="B45" s="23" t="n"/>
      <c r="C45" s="23" t="n"/>
      <c r="D45" s="23" t="n"/>
      <c r="E45" s="23" t="n">
        <v>20</v>
      </c>
      <c r="F45" s="23" t="n">
        <v>0</v>
      </c>
      <c r="G45" s="9" t="n"/>
      <c r="H45" s="10" t="n"/>
      <c r="I45" s="11" t="n"/>
    </row>
    <row r="46">
      <c r="A46" s="22" t="n"/>
      <c r="B46" s="23" t="n"/>
      <c r="C46" s="23" t="n"/>
      <c r="D46" s="23" t="n"/>
      <c r="E46" s="23" t="n">
        <v>19</v>
      </c>
      <c r="F46" s="23" t="n">
        <v>0</v>
      </c>
      <c r="G46" s="9" t="n"/>
      <c r="H46" s="10" t="n"/>
      <c r="I46" s="11" t="n"/>
    </row>
    <row r="47">
      <c r="A47" s="22" t="n"/>
      <c r="B47" s="23" t="n"/>
      <c r="C47" s="23" t="n"/>
      <c r="D47" s="23" t="n"/>
      <c r="E47" s="23" t="n">
        <v>18</v>
      </c>
      <c r="F47" s="23" t="n">
        <v>0</v>
      </c>
      <c r="G47" s="9" t="n"/>
      <c r="H47" s="10" t="n"/>
      <c r="I47" s="11" t="n"/>
    </row>
    <row r="48">
      <c r="A48" s="22" t="n"/>
      <c r="B48" s="23" t="n"/>
      <c r="C48" s="23" t="n"/>
      <c r="D48" s="23" t="n"/>
      <c r="E48" s="23" t="n">
        <v>17</v>
      </c>
      <c r="F48" s="23" t="n">
        <v>0</v>
      </c>
      <c r="G48" s="9" t="n"/>
      <c r="H48" s="10" t="n"/>
      <c r="I48" s="11" t="n"/>
    </row>
    <row r="49">
      <c r="A49" s="22" t="n"/>
      <c r="B49" s="23" t="n"/>
      <c r="C49" s="23" t="n"/>
      <c r="D49" s="23" t="n"/>
      <c r="E49" s="23" t="n">
        <v>16</v>
      </c>
      <c r="F49" s="23" t="n">
        <v>0</v>
      </c>
      <c r="G49" s="9" t="n"/>
      <c r="H49" s="10" t="n"/>
      <c r="I49" s="11" t="n"/>
    </row>
    <row r="50">
      <c r="A50" s="22" t="n"/>
      <c r="B50" s="23" t="n"/>
      <c r="C50" s="23" t="n"/>
      <c r="D50" s="23" t="str">
        <f>DEC2HEX(128*F50+64*F51+32*F52+16*F53+8*F54+4*F55+2*F56+1*F57,2)&amp;"h"</f>
        <v>00h</v>
      </c>
      <c r="E50" s="23" t="n">
        <v>15</v>
      </c>
      <c r="F50" s="23" t="n">
        <v>0</v>
      </c>
      <c r="G50" s="9" t="n"/>
      <c r="H50" s="10" t="n"/>
      <c r="I50" s="11" t="n"/>
    </row>
    <row r="51">
      <c r="A51" s="22" t="n"/>
      <c r="B51" s="23" t="n"/>
      <c r="C51" s="23" t="n"/>
      <c r="D51" s="23" t="n"/>
      <c r="E51" s="23" t="n">
        <v>14</v>
      </c>
      <c r="F51" s="23" t="n">
        <v>0</v>
      </c>
      <c r="G51" s="9" t="n"/>
      <c r="H51" s="10" t="n"/>
      <c r="I51" s="11" t="n"/>
    </row>
    <row r="52">
      <c r="A52" s="22" t="n"/>
      <c r="B52" s="23" t="n"/>
      <c r="C52" s="23" t="n"/>
      <c r="D52" s="23" t="n"/>
      <c r="E52" s="23" t="n">
        <v>13</v>
      </c>
      <c r="F52" s="23" t="n">
        <v>0</v>
      </c>
      <c r="G52" s="9" t="n"/>
      <c r="H52" s="10" t="n"/>
      <c r="I52" s="11" t="n"/>
    </row>
    <row r="53">
      <c r="A53" s="22" t="n"/>
      <c r="B53" s="23" t="n"/>
      <c r="C53" s="23" t="n"/>
      <c r="D53" s="23" t="n"/>
      <c r="E53" s="23" t="n">
        <v>12</v>
      </c>
      <c r="F53" s="23" t="n">
        <v>0</v>
      </c>
      <c r="G53" s="9" t="n"/>
      <c r="H53" s="10" t="n"/>
      <c r="I53" s="11" t="n"/>
    </row>
    <row r="54">
      <c r="A54" s="22" t="n"/>
      <c r="B54" s="23" t="n"/>
      <c r="C54" s="23" t="n"/>
      <c r="D54" s="23" t="n"/>
      <c r="E54" s="23" t="n">
        <v>11</v>
      </c>
      <c r="F54" s="23" t="n">
        <v>0</v>
      </c>
      <c r="G54" s="9" t="n"/>
      <c r="H54" s="10" t="n"/>
      <c r="I54" s="11" t="n"/>
    </row>
    <row r="55">
      <c r="A55" s="22" t="n"/>
      <c r="B55" s="23" t="n"/>
      <c r="C55" s="23" t="n"/>
      <c r="D55" s="23" t="n"/>
      <c r="E55" s="23" t="n">
        <v>10</v>
      </c>
      <c r="F55" s="23" t="n">
        <v>0</v>
      </c>
      <c r="G55" s="9" t="n"/>
      <c r="H55" s="10" t="n"/>
      <c r="I55" s="11" t="n"/>
    </row>
    <row r="56">
      <c r="A56" s="22" t="n"/>
      <c r="B56" s="23" t="n"/>
      <c r="C56" s="23" t="n"/>
      <c r="D56" s="23" t="n"/>
      <c r="E56" s="23" t="n">
        <v>9</v>
      </c>
      <c r="F56" s="23" t="n">
        <v>0</v>
      </c>
      <c r="G56" s="9" t="n"/>
      <c r="H56" s="10" t="n"/>
      <c r="I56" s="11" t="n"/>
    </row>
    <row r="57">
      <c r="A57" s="22" t="n"/>
      <c r="B57" s="23" t="n"/>
      <c r="C57" s="23" t="n"/>
      <c r="D57" s="23" t="n"/>
      <c r="E57" s="23" t="n">
        <v>8</v>
      </c>
      <c r="F57" s="23" t="n">
        <v>0</v>
      </c>
      <c r="G57" s="9" t="n"/>
      <c r="H57" s="10" t="n"/>
      <c r="I57" s="11" t="n"/>
    </row>
    <row r="58">
      <c r="A58" s="22" t="n"/>
      <c r="B58" s="23" t="n"/>
      <c r="C58" s="23" t="n"/>
      <c r="D58" s="23" t="str">
        <f>DEC2HEX(128*F58+64*F59+32*F60+16*F61+8*F62+4*F63+2*F64+1*F65,2)&amp;"h"</f>
        <v>02h</v>
      </c>
      <c r="E58" s="23" t="n">
        <v>7</v>
      </c>
      <c r="F58" s="23" t="n">
        <v>0</v>
      </c>
      <c r="G58" s="9" t="n"/>
      <c r="H58" s="10" t="n"/>
      <c r="I58" s="11" t="n"/>
    </row>
    <row r="59">
      <c r="A59" s="22" t="n"/>
      <c r="B59" s="23" t="n"/>
      <c r="C59" s="23" t="n"/>
      <c r="D59" s="23" t="n"/>
      <c r="E59" s="23" t="n">
        <v>6</v>
      </c>
      <c r="F59" s="23" t="n">
        <v>0</v>
      </c>
      <c r="G59" s="9" t="n"/>
      <c r="H59" s="10" t="n"/>
      <c r="I59" s="11" t="n"/>
    </row>
    <row r="60">
      <c r="A60" s="22" t="n"/>
      <c r="B60" s="23" t="n"/>
      <c r="C60" s="23" t="n"/>
      <c r="D60" s="23" t="n"/>
      <c r="E60" s="23" t="n">
        <v>5</v>
      </c>
      <c r="F60" s="23" t="n">
        <v>0</v>
      </c>
      <c r="G60" s="9" t="n"/>
      <c r="H60" s="10" t="n"/>
      <c r="I60" s="11" t="n"/>
    </row>
    <row r="61">
      <c r="A61" s="22" t="n"/>
      <c r="B61" s="23" t="n"/>
      <c r="C61" s="23" t="n"/>
      <c r="D61" s="23" t="n"/>
      <c r="E61" s="23" t="n">
        <v>4</v>
      </c>
      <c r="F61" s="23" t="n">
        <v>0</v>
      </c>
      <c r="G61" s="9" t="n"/>
      <c r="H61" s="10" t="n"/>
      <c r="I61" s="11" t="n"/>
    </row>
    <row r="62">
      <c r="A62" s="22" t="n"/>
      <c r="B62" s="23" t="n"/>
      <c r="C62" s="23" t="n"/>
      <c r="D62" s="23" t="n"/>
      <c r="E62" s="23" t="n">
        <v>3</v>
      </c>
      <c r="F62" s="23" t="n">
        <v>0</v>
      </c>
      <c r="G62" s="9" t="n"/>
      <c r="H62" s="10" t="n"/>
      <c r="I62" s="11" t="n"/>
    </row>
    <row r="63">
      <c r="A63" s="22" t="n"/>
      <c r="B63" s="23" t="n"/>
      <c r="C63" s="23" t="n"/>
      <c r="D63" s="23" t="n"/>
      <c r="E63" s="23" t="n">
        <v>2</v>
      </c>
      <c r="F63" s="23" t="n">
        <v>0</v>
      </c>
      <c r="G63" s="9" t="n"/>
      <c r="H63" s="10" t="n"/>
      <c r="I63" s="11" t="n"/>
    </row>
    <row r="64">
      <c r="A64" s="22" t="n"/>
      <c r="B64" s="23" t="n"/>
      <c r="C64" s="23" t="n"/>
      <c r="D64" s="23" t="n"/>
      <c r="E64" s="23" t="n">
        <v>1</v>
      </c>
      <c r="F64" s="23" t="n">
        <v>1</v>
      </c>
      <c r="G64" s="12" t="inlineStr">
        <is>
          <t>adc_power_en</t>
        </is>
      </c>
      <c r="H64" s="13" t="inlineStr">
        <is>
          <t>RW</t>
        </is>
      </c>
      <c r="I64" s="14" t="inlineStr">
        <is>
          <t>adc power en，默认为1</t>
        </is>
      </c>
    </row>
    <row r="65">
      <c r="A65" s="24" t="n"/>
      <c r="B65" s="25" t="n"/>
      <c r="C65" s="25" t="n"/>
      <c r="D65" s="25" t="n"/>
      <c r="E65" s="25" t="n">
        <v>0</v>
      </c>
      <c r="F65" s="25" t="n">
        <v>0</v>
      </c>
      <c r="G65" s="32" t="inlineStr">
        <is>
          <t>adc_reset</t>
        </is>
      </c>
      <c r="H65" s="33" t="inlineStr">
        <is>
          <t>W1S</t>
        </is>
      </c>
      <c r="I65" s="34" t="inlineStr">
        <is>
          <t>adc 复位，写1 复位，自清0</t>
        </is>
      </c>
    </row>
  </sheetData>
  <autoFilter ref="A1:I65"/>
  <mergeCells count="23">
    <mergeCell ref="D26:D33"/>
    <mergeCell ref="I34:I63"/>
    <mergeCell ref="A34:A65"/>
    <mergeCell ref="C34:C65"/>
    <mergeCell ref="D10:D17"/>
    <mergeCell ref="D50:D57"/>
    <mergeCell ref="H2:H25"/>
    <mergeCell ref="H26:H33"/>
    <mergeCell ref="I26:I33"/>
    <mergeCell ref="D34:D41"/>
    <mergeCell ref="H34:H63"/>
    <mergeCell ref="D2:D9"/>
    <mergeCell ref="B2:B33"/>
    <mergeCell ref="G34:G63"/>
    <mergeCell ref="D18:D25"/>
    <mergeCell ref="D58:D65"/>
    <mergeCell ref="A2:A33"/>
    <mergeCell ref="G26:G33"/>
    <mergeCell ref="B34:B65"/>
    <mergeCell ref="C2:C33"/>
    <mergeCell ref="D42:D49"/>
    <mergeCell ref="G2:G25"/>
    <mergeCell ref="I2:I25"/>
  </mergeCells>
  <pageMargins left="0.25" right="0.2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5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6" customWidth="1" min="3" max="3"/>
    <col width="15" customWidth="1" min="4" max="4"/>
    <col width="8" customWidth="1" min="5" max="5"/>
    <col width="14" customWidth="1" min="6" max="6"/>
    <col width="24" customWidth="1" min="7" max="7"/>
    <col width="15" customWidth="1" min="8" max="8"/>
    <col width="52" customWidth="1" min="9" max="9"/>
  </cols>
  <sheetData>
    <row r="1" ht="32" customHeight="1">
      <c r="A1" s="1" t="inlineStr">
        <is>
          <t>Register Name</t>
        </is>
      </c>
      <c r="B1" s="1" t="inlineStr">
        <is>
          <t>Offset (hex)</t>
        </is>
      </c>
      <c r="C1" s="1" t="inlineStr">
        <is>
          <t>Reg Value
(hex)</t>
        </is>
      </c>
      <c r="D1" s="1" t="inlineStr">
        <is>
          <t>Byte Value
(hex)</t>
        </is>
      </c>
      <c r="E1" s="1" t="inlineStr">
        <is>
          <t>Bits</t>
        </is>
      </c>
      <c r="F1" s="1" t="inlineStr">
        <is>
          <t>Bit Value
(hex)</t>
        </is>
      </c>
      <c r="G1" s="1" t="inlineStr">
        <is>
          <t>Field Name</t>
        </is>
      </c>
      <c r="H1" s="1" t="inlineStr">
        <is>
          <t>Memory Access</t>
        </is>
      </c>
      <c r="I1" s="1" t="inlineStr">
        <is>
          <t>Description</t>
        </is>
      </c>
    </row>
    <row r="2">
      <c r="A2" s="2" t="inlineStr">
        <is>
          <t>ACCU_CTRL_REG</t>
        </is>
      </c>
      <c r="B2" s="3" t="str">
        <f>DEC2HEX(0,4)&amp;"h"</f>
        <v>0000h</v>
      </c>
      <c r="C2" s="3" t="str">
        <f>LEFT(D2,2)&amp;LEFT(D10,2)&amp;LEFT(D18,2)&amp;LEFT(D26,2)&amp;"h"</f>
        <v>00000002h</v>
      </c>
      <c r="D2" s="3" t="str">
        <f>DEC2HEX(128*F2+64*F3+32*F4+16*F5+8*F6+4*F7+2*F8+1*F9,2)&amp;"h"</f>
        <v>00h</v>
      </c>
      <c r="E2" s="3" t="n">
        <v>31</v>
      </c>
      <c r="F2" s="3" t="n">
        <v>0</v>
      </c>
      <c r="G2" s="4" t="inlineStr">
        <is>
          <t>RESERVED</t>
        </is>
      </c>
      <c r="H2" s="5" t="inlineStr">
        <is>
          <t>RO</t>
        </is>
      </c>
      <c r="I2" s="6" t="inlineStr">
        <is>
          <t>Reserved; keep at reset value.</t>
        </is>
      </c>
    </row>
    <row r="3">
      <c r="A3" s="7" t="n"/>
      <c r="B3" s="8" t="n"/>
      <c r="C3" s="8" t="n"/>
      <c r="D3" s="8" t="n"/>
      <c r="E3" s="8" t="n">
        <v>30</v>
      </c>
      <c r="F3" s="8" t="n">
        <v>0</v>
      </c>
      <c r="G3" s="9" t="n"/>
      <c r="H3" s="10" t="n"/>
      <c r="I3" s="11" t="n"/>
    </row>
    <row r="4">
      <c r="A4" s="7" t="n"/>
      <c r="B4" s="8" t="n"/>
      <c r="C4" s="8" t="n"/>
      <c r="D4" s="8" t="n"/>
      <c r="E4" s="8" t="n">
        <v>29</v>
      </c>
      <c r="F4" s="8" t="n">
        <v>0</v>
      </c>
      <c r="G4" s="9" t="n"/>
      <c r="H4" s="10" t="n"/>
      <c r="I4" s="11" t="n"/>
    </row>
    <row r="5">
      <c r="A5" s="7" t="n"/>
      <c r="B5" s="8" t="n"/>
      <c r="C5" s="8" t="n"/>
      <c r="D5" s="8" t="n"/>
      <c r="E5" s="8" t="n">
        <v>28</v>
      </c>
      <c r="F5" s="8" t="n">
        <v>0</v>
      </c>
      <c r="G5" s="9" t="n"/>
      <c r="H5" s="10" t="n"/>
      <c r="I5" s="11" t="n"/>
    </row>
    <row r="6">
      <c r="A6" s="7" t="n"/>
      <c r="B6" s="8" t="n"/>
      <c r="C6" s="8" t="n"/>
      <c r="D6" s="8" t="n"/>
      <c r="E6" s="8" t="n">
        <v>27</v>
      </c>
      <c r="F6" s="8" t="n">
        <v>0</v>
      </c>
      <c r="G6" s="9" t="n"/>
      <c r="H6" s="10" t="n"/>
      <c r="I6" s="11" t="n"/>
    </row>
    <row r="7">
      <c r="A7" s="7" t="n"/>
      <c r="B7" s="8" t="n"/>
      <c r="C7" s="8" t="n"/>
      <c r="D7" s="8" t="n"/>
      <c r="E7" s="8" t="n">
        <v>26</v>
      </c>
      <c r="F7" s="8" t="n">
        <v>0</v>
      </c>
      <c r="G7" s="9" t="n"/>
      <c r="H7" s="10" t="n"/>
      <c r="I7" s="11" t="n"/>
    </row>
    <row r="8">
      <c r="A8" s="7" t="n"/>
      <c r="B8" s="8" t="n"/>
      <c r="C8" s="8" t="n"/>
      <c r="D8" s="8" t="n"/>
      <c r="E8" s="8" t="n">
        <v>25</v>
      </c>
      <c r="F8" s="8" t="n">
        <v>0</v>
      </c>
      <c r="G8" s="9" t="n"/>
      <c r="H8" s="10" t="n"/>
      <c r="I8" s="11" t="n"/>
    </row>
    <row r="9">
      <c r="A9" s="7" t="n"/>
      <c r="B9" s="8" t="n"/>
      <c r="C9" s="8" t="n"/>
      <c r="D9" s="8" t="n"/>
      <c r="E9" s="8" t="n">
        <v>24</v>
      </c>
      <c r="F9" s="8" t="n">
        <v>0</v>
      </c>
      <c r="G9" s="9" t="n"/>
      <c r="H9" s="10" t="n"/>
      <c r="I9" s="11" t="n"/>
    </row>
    <row r="10">
      <c r="A10" s="7" t="n"/>
      <c r="B10" s="8" t="n"/>
      <c r="C10" s="8" t="n"/>
      <c r="D10" s="8" t="str">
        <f>DEC2HEX(128*F10+64*F11+32*F12+16*F13+8*F14+4*F15+2*F16+1*F17,2)&amp;"h"</f>
        <v>00h</v>
      </c>
      <c r="E10" s="8" t="n">
        <v>23</v>
      </c>
      <c r="F10" s="8" t="n">
        <v>0</v>
      </c>
      <c r="G10" s="9" t="n"/>
      <c r="H10" s="10" t="n"/>
      <c r="I10" s="11" t="n"/>
    </row>
    <row r="11">
      <c r="A11" s="7" t="n"/>
      <c r="B11" s="8" t="n"/>
      <c r="C11" s="8" t="n"/>
      <c r="D11" s="8" t="n"/>
      <c r="E11" s="8" t="n">
        <v>22</v>
      </c>
      <c r="F11" s="8" t="n">
        <v>0</v>
      </c>
      <c r="G11" s="9" t="n"/>
      <c r="H11" s="10" t="n"/>
      <c r="I11" s="11" t="n"/>
    </row>
    <row r="12">
      <c r="A12" s="7" t="n"/>
      <c r="B12" s="8" t="n"/>
      <c r="C12" s="8" t="n"/>
      <c r="D12" s="8" t="n"/>
      <c r="E12" s="8" t="n">
        <v>21</v>
      </c>
      <c r="F12" s="8" t="n">
        <v>0</v>
      </c>
      <c r="G12" s="9" t="n"/>
      <c r="H12" s="10" t="n"/>
      <c r="I12" s="11" t="n"/>
    </row>
    <row r="13">
      <c r="A13" s="7" t="n"/>
      <c r="B13" s="8" t="n"/>
      <c r="C13" s="8" t="n"/>
      <c r="D13" s="8" t="n"/>
      <c r="E13" s="8" t="n">
        <v>20</v>
      </c>
      <c r="F13" s="8" t="n">
        <v>0</v>
      </c>
      <c r="G13" s="9" t="n"/>
      <c r="H13" s="10" t="n"/>
      <c r="I13" s="11" t="n"/>
    </row>
    <row r="14">
      <c r="A14" s="7" t="n"/>
      <c r="B14" s="8" t="n"/>
      <c r="C14" s="8" t="n"/>
      <c r="D14" s="8" t="n"/>
      <c r="E14" s="8" t="n">
        <v>19</v>
      </c>
      <c r="F14" s="8" t="n">
        <v>0</v>
      </c>
      <c r="G14" s="9" t="n"/>
      <c r="H14" s="10" t="n"/>
      <c r="I14" s="11" t="n"/>
    </row>
    <row r="15">
      <c r="A15" s="7" t="n"/>
      <c r="B15" s="8" t="n"/>
      <c r="C15" s="8" t="n"/>
      <c r="D15" s="8" t="n"/>
      <c r="E15" s="8" t="n">
        <v>18</v>
      </c>
      <c r="F15" s="8" t="n">
        <v>0</v>
      </c>
      <c r="G15" s="9" t="n"/>
      <c r="H15" s="10" t="n"/>
      <c r="I15" s="11" t="n"/>
    </row>
    <row r="16">
      <c r="A16" s="7" t="n"/>
      <c r="B16" s="8" t="n"/>
      <c r="C16" s="8" t="n"/>
      <c r="D16" s="8" t="n"/>
      <c r="E16" s="8" t="n">
        <v>17</v>
      </c>
      <c r="F16" s="8" t="n">
        <v>0</v>
      </c>
      <c r="G16" s="9" t="n"/>
      <c r="H16" s="10" t="n"/>
      <c r="I16" s="11" t="n"/>
    </row>
    <row r="17">
      <c r="A17" s="7" t="n"/>
      <c r="B17" s="8" t="n"/>
      <c r="C17" s="8" t="n"/>
      <c r="D17" s="8" t="n"/>
      <c r="E17" s="8" t="n">
        <v>16</v>
      </c>
      <c r="F17" s="8" t="n">
        <v>0</v>
      </c>
      <c r="G17" s="9" t="n"/>
      <c r="H17" s="10" t="n"/>
      <c r="I17" s="11" t="n"/>
    </row>
    <row r="18">
      <c r="A18" s="7" t="n"/>
      <c r="B18" s="8" t="n"/>
      <c r="C18" s="8" t="n"/>
      <c r="D18" s="8" t="str">
        <f>DEC2HEX(128*F18+64*F19+32*F20+16*F21+8*F22+4*F23+2*F24+1*F25,2)&amp;"h"</f>
        <v>00h</v>
      </c>
      <c r="E18" s="8" t="n">
        <v>15</v>
      </c>
      <c r="F18" s="8" t="n">
        <v>0</v>
      </c>
      <c r="G18" s="26" t="inlineStr">
        <is>
          <t>accumulator_status</t>
        </is>
      </c>
      <c r="H18" s="27" t="inlineStr">
        <is>
          <t>RO</t>
        </is>
      </c>
      <c r="I18" s="28" t="inlineStr">
        <is>
          <t>传输状态</t>
        </is>
      </c>
    </row>
    <row r="19">
      <c r="A19" s="7" t="n"/>
      <c r="B19" s="8" t="n"/>
      <c r="C19" s="8" t="n"/>
      <c r="D19" s="8" t="n"/>
      <c r="E19" s="8" t="n">
        <v>14</v>
      </c>
      <c r="F19" s="8" t="n">
        <v>0</v>
      </c>
      <c r="G19" s="26" t="n"/>
      <c r="H19" s="27" t="n"/>
      <c r="I19" s="28" t="n"/>
    </row>
    <row r="20">
      <c r="A20" s="7" t="n"/>
      <c r="B20" s="8" t="n"/>
      <c r="C20" s="8" t="n"/>
      <c r="D20" s="8" t="n"/>
      <c r="E20" s="8" t="n">
        <v>13</v>
      </c>
      <c r="F20" s="8" t="n">
        <v>0</v>
      </c>
      <c r="G20" s="26" t="n"/>
      <c r="H20" s="27" t="n"/>
      <c r="I20" s="28" t="n"/>
    </row>
    <row r="21">
      <c r="A21" s="7" t="n"/>
      <c r="B21" s="8" t="n"/>
      <c r="C21" s="8" t="n"/>
      <c r="D21" s="8" t="n"/>
      <c r="E21" s="8" t="n">
        <v>12</v>
      </c>
      <c r="F21" s="8" t="n">
        <v>0</v>
      </c>
      <c r="G21" s="26" t="n"/>
      <c r="H21" s="27" t="n"/>
      <c r="I21" s="28" t="n"/>
    </row>
    <row r="22">
      <c r="A22" s="7" t="n"/>
      <c r="B22" s="8" t="n"/>
      <c r="C22" s="8" t="n"/>
      <c r="D22" s="8" t="n"/>
      <c r="E22" s="8" t="n">
        <v>11</v>
      </c>
      <c r="F22" s="8" t="n">
        <v>0</v>
      </c>
      <c r="G22" s="26" t="n"/>
      <c r="H22" s="27" t="n"/>
      <c r="I22" s="28" t="n"/>
    </row>
    <row r="23">
      <c r="A23" s="7" t="n"/>
      <c r="B23" s="8" t="n"/>
      <c r="C23" s="8" t="n"/>
      <c r="D23" s="8" t="n"/>
      <c r="E23" s="8" t="n">
        <v>10</v>
      </c>
      <c r="F23" s="8" t="n">
        <v>0</v>
      </c>
      <c r="G23" s="26" t="n"/>
      <c r="H23" s="27" t="n"/>
      <c r="I23" s="28" t="n"/>
    </row>
    <row r="24">
      <c r="A24" s="7" t="n"/>
      <c r="B24" s="8" t="n"/>
      <c r="C24" s="8" t="n"/>
      <c r="D24" s="8" t="n"/>
      <c r="E24" s="8" t="n">
        <v>9</v>
      </c>
      <c r="F24" s="8" t="n">
        <v>0</v>
      </c>
      <c r="G24" s="26" t="n"/>
      <c r="H24" s="27" t="n"/>
      <c r="I24" s="28" t="n"/>
    </row>
    <row r="25">
      <c r="A25" s="7" t="n"/>
      <c r="B25" s="8" t="n"/>
      <c r="C25" s="8" t="n"/>
      <c r="D25" s="8" t="n"/>
      <c r="E25" s="8" t="n">
        <v>8</v>
      </c>
      <c r="F25" s="8" t="n">
        <v>0</v>
      </c>
      <c r="G25" s="26" t="n"/>
      <c r="H25" s="27" t="n"/>
      <c r="I25" s="28" t="n"/>
    </row>
    <row r="26">
      <c r="A26" s="7" t="n"/>
      <c r="B26" s="8" t="n"/>
      <c r="C26" s="8" t="n"/>
      <c r="D26" s="8" t="str">
        <f>DEC2HEX(128*F26+64*F27+32*F28+16*F29+8*F30+4*F31+2*F32+1*F33,2)&amp;"h"</f>
        <v>02h</v>
      </c>
      <c r="E26" s="8" t="n">
        <v>7</v>
      </c>
      <c r="F26" s="8" t="n">
        <v>0</v>
      </c>
      <c r="G26" s="9" t="inlineStr">
        <is>
          <t>RESERVED</t>
        </is>
      </c>
      <c r="H26" s="10" t="inlineStr">
        <is>
          <t>RO</t>
        </is>
      </c>
      <c r="I26" s="11" t="inlineStr">
        <is>
          <t>Reserved; keep at reset value.</t>
        </is>
      </c>
    </row>
    <row r="27">
      <c r="A27" s="7" t="n"/>
      <c r="B27" s="8" t="n"/>
      <c r="C27" s="8" t="n"/>
      <c r="D27" s="8" t="n"/>
      <c r="E27" s="8" t="n">
        <v>6</v>
      </c>
      <c r="F27" s="8" t="n">
        <v>0</v>
      </c>
      <c r="G27" s="9" t="n"/>
      <c r="H27" s="10" t="n"/>
      <c r="I27" s="11" t="n"/>
    </row>
    <row r="28">
      <c r="A28" s="7" t="n"/>
      <c r="B28" s="8" t="n"/>
      <c r="C28" s="8" t="n"/>
      <c r="D28" s="8" t="n"/>
      <c r="E28" s="8" t="n">
        <v>5</v>
      </c>
      <c r="F28" s="8" t="n">
        <v>0</v>
      </c>
      <c r="G28" s="9" t="n"/>
      <c r="H28" s="10" t="n"/>
      <c r="I28" s="11" t="n"/>
    </row>
    <row r="29">
      <c r="A29" s="7" t="n"/>
      <c r="B29" s="8" t="n"/>
      <c r="C29" s="8" t="n"/>
      <c r="D29" s="8" t="n"/>
      <c r="E29" s="8" t="n">
        <v>4</v>
      </c>
      <c r="F29" s="8" t="n">
        <v>0</v>
      </c>
      <c r="G29" s="9" t="n"/>
      <c r="H29" s="10" t="n"/>
      <c r="I29" s="11" t="n"/>
    </row>
    <row r="30">
      <c r="A30" s="7" t="n"/>
      <c r="B30" s="8" t="n"/>
      <c r="C30" s="8" t="n"/>
      <c r="D30" s="8" t="n"/>
      <c r="E30" s="8" t="n">
        <v>3</v>
      </c>
      <c r="F30" s="8" t="n">
        <v>0</v>
      </c>
      <c r="G30" s="12" t="inlineStr">
        <is>
          <t>batch_single_buffer_en</t>
        </is>
      </c>
      <c r="H30" s="13" t="inlineStr">
        <is>
          <t>RW</t>
        </is>
      </c>
      <c r="I30" s="14" t="inlineStr">
        <is>
          <t>1：复用固定双通道 Batch 区域，仅保留最新 Batch；0：每个 Batch 使用独立 DDR 区域</t>
        </is>
      </c>
    </row>
    <row r="31">
      <c r="A31" s="7" t="n"/>
      <c r="B31" s="8" t="n"/>
      <c r="C31" s="8" t="n"/>
      <c r="D31" s="8" t="n"/>
      <c r="E31" s="8" t="n">
        <v>2</v>
      </c>
      <c r="F31" s="8" t="n">
        <v>0</v>
      </c>
      <c r="G31" s="12" t="inlineStr">
        <is>
          <t>batch_sum_recorder</t>
        </is>
      </c>
      <c r="H31" s="13" t="inlineStr">
        <is>
          <t>RW</t>
        </is>
      </c>
      <c r="I31" s="14" t="inlineStr">
        <is>
          <t>是否保留 batch 累加记录，默认关</t>
        </is>
      </c>
    </row>
    <row r="32">
      <c r="A32" s="7" t="n"/>
      <c r="B32" s="8" t="n"/>
      <c r="C32" s="8" t="n"/>
      <c r="D32" s="8" t="n"/>
      <c r="E32" s="8" t="n">
        <v>1</v>
      </c>
      <c r="F32" s="8" t="n">
        <v>1</v>
      </c>
      <c r="G32" s="12" t="inlineStr">
        <is>
          <t>result_sum_en</t>
        </is>
      </c>
      <c r="H32" s="13" t="inlineStr">
        <is>
          <t>RW</t>
        </is>
      </c>
      <c r="I32" s="14" t="inlineStr">
        <is>
          <t>是否自动计算整体累加值，默认开启</t>
        </is>
      </c>
    </row>
    <row r="33">
      <c r="A33" s="15" t="n"/>
      <c r="B33" s="16" t="n"/>
      <c r="C33" s="16" t="n"/>
      <c r="D33" s="16" t="n"/>
      <c r="E33" s="16" t="n">
        <v>0</v>
      </c>
      <c r="F33" s="16" t="n">
        <v>0</v>
      </c>
      <c r="G33" s="32" t="inlineStr">
        <is>
          <t>accumulator_start</t>
        </is>
      </c>
      <c r="H33" s="33" t="inlineStr">
        <is>
          <t>W1S</t>
        </is>
      </c>
      <c r="I33" s="34" t="inlineStr">
        <is>
          <t>开始累加计算，完成后自清0</t>
        </is>
      </c>
    </row>
    <row r="34">
      <c r="A34" s="20" t="inlineStr">
        <is>
          <t>DEVICE_CLOCK_CTRL</t>
        </is>
      </c>
      <c r="B34" s="21" t="str">
        <f>DEC2HEX(4,4)&amp;"h"</f>
        <v>0004h</v>
      </c>
      <c r="C34" s="21" t="str">
        <f>LEFT(D34,2)&amp;LEFT(D42,2)&amp;LEFT(D50,2)&amp;LEFT(D58,2)&amp;"h"</f>
        <v>00000000h</v>
      </c>
      <c r="D34" s="21" t="str">
        <f>DEC2HEX(128*F34+64*F35+32*F36+16*F37+8*F38+4*F39+2*F40+1*F41,2)&amp;"h"</f>
        <v>00h</v>
      </c>
      <c r="E34" s="21" t="n">
        <v>31</v>
      </c>
      <c r="F34" s="21" t="n">
        <v>0</v>
      </c>
      <c r="G34" s="4" t="inlineStr">
        <is>
          <t>RESERVED</t>
        </is>
      </c>
      <c r="H34" s="5" t="inlineStr">
        <is>
          <t>RO</t>
        </is>
      </c>
      <c r="I34" s="6" t="inlineStr">
        <is>
          <t>Reserved; keep at reset value.</t>
        </is>
      </c>
    </row>
    <row r="35">
      <c r="A35" s="22" t="n"/>
      <c r="B35" s="23" t="n"/>
      <c r="C35" s="23" t="n"/>
      <c r="D35" s="23" t="n"/>
      <c r="E35" s="23" t="n">
        <v>30</v>
      </c>
      <c r="F35" s="23" t="n">
        <v>0</v>
      </c>
      <c r="G35" s="9" t="n"/>
      <c r="H35" s="10" t="n"/>
      <c r="I35" s="11" t="n"/>
    </row>
    <row r="36">
      <c r="A36" s="22" t="n"/>
      <c r="B36" s="23" t="n"/>
      <c r="C36" s="23" t="n"/>
      <c r="D36" s="23" t="n"/>
      <c r="E36" s="23" t="n">
        <v>29</v>
      </c>
      <c r="F36" s="23" t="n">
        <v>0</v>
      </c>
      <c r="G36" s="9" t="n"/>
      <c r="H36" s="10" t="n"/>
      <c r="I36" s="11" t="n"/>
    </row>
    <row r="37">
      <c r="A37" s="22" t="n"/>
      <c r="B37" s="23" t="n"/>
      <c r="C37" s="23" t="n"/>
      <c r="D37" s="23" t="n"/>
      <c r="E37" s="23" t="n">
        <v>28</v>
      </c>
      <c r="F37" s="23" t="n">
        <v>0</v>
      </c>
      <c r="G37" s="9" t="n"/>
      <c r="H37" s="10" t="n"/>
      <c r="I37" s="11" t="n"/>
    </row>
    <row r="38">
      <c r="A38" s="22" t="n"/>
      <c r="B38" s="23" t="n"/>
      <c r="C38" s="23" t="n"/>
      <c r="D38" s="23" t="n"/>
      <c r="E38" s="23" t="n">
        <v>27</v>
      </c>
      <c r="F38" s="23" t="n">
        <v>0</v>
      </c>
      <c r="G38" s="9" t="n"/>
      <c r="H38" s="10" t="n"/>
      <c r="I38" s="11" t="n"/>
    </row>
    <row r="39">
      <c r="A39" s="22" t="n"/>
      <c r="B39" s="23" t="n"/>
      <c r="C39" s="23" t="n"/>
      <c r="D39" s="23" t="n"/>
      <c r="E39" s="23" t="n">
        <v>26</v>
      </c>
      <c r="F39" s="23" t="n">
        <v>0</v>
      </c>
      <c r="G39" s="9" t="n"/>
      <c r="H39" s="10" t="n"/>
      <c r="I39" s="11" t="n"/>
    </row>
    <row r="40">
      <c r="A40" s="22" t="n"/>
      <c r="B40" s="23" t="n"/>
      <c r="C40" s="23" t="n"/>
      <c r="D40" s="23" t="n"/>
      <c r="E40" s="23" t="n">
        <v>25</v>
      </c>
      <c r="F40" s="23" t="n">
        <v>0</v>
      </c>
      <c r="G40" s="9" t="n"/>
      <c r="H40" s="10" t="n"/>
      <c r="I40" s="11" t="n"/>
    </row>
    <row r="41">
      <c r="A41" s="22" t="n"/>
      <c r="B41" s="23" t="n"/>
      <c r="C41" s="23" t="n"/>
      <c r="D41" s="23" t="n"/>
      <c r="E41" s="23" t="n">
        <v>24</v>
      </c>
      <c r="F41" s="23" t="n">
        <v>0</v>
      </c>
      <c r="G41" s="9" t="n"/>
      <c r="H41" s="10" t="n"/>
      <c r="I41" s="11" t="n"/>
    </row>
    <row r="42">
      <c r="A42" s="22" t="n"/>
      <c r="B42" s="23" t="n"/>
      <c r="C42" s="23" t="n"/>
      <c r="D42" s="23" t="str">
        <f>DEC2HEX(128*F42+64*F43+32*F44+16*F45+8*F46+4*F47+2*F48+1*F49,2)&amp;"h"</f>
        <v>00h</v>
      </c>
      <c r="E42" s="23" t="n">
        <v>23</v>
      </c>
      <c r="F42" s="23" t="n">
        <v>0</v>
      </c>
      <c r="G42" s="9" t="n"/>
      <c r="H42" s="10" t="n"/>
      <c r="I42" s="11" t="n"/>
    </row>
    <row r="43">
      <c r="A43" s="22" t="n"/>
      <c r="B43" s="23" t="n"/>
      <c r="C43" s="23" t="n"/>
      <c r="D43" s="23" t="n"/>
      <c r="E43" s="23" t="n">
        <v>22</v>
      </c>
      <c r="F43" s="23" t="n">
        <v>0</v>
      </c>
      <c r="G43" s="9" t="n"/>
      <c r="H43" s="10" t="n"/>
      <c r="I43" s="11" t="n"/>
    </row>
    <row r="44">
      <c r="A44" s="22" t="n"/>
      <c r="B44" s="23" t="n"/>
      <c r="C44" s="23" t="n"/>
      <c r="D44" s="23" t="n"/>
      <c r="E44" s="23" t="n">
        <v>21</v>
      </c>
      <c r="F44" s="23" t="n">
        <v>0</v>
      </c>
      <c r="G44" s="9" t="n"/>
      <c r="H44" s="10" t="n"/>
      <c r="I44" s="11" t="n"/>
    </row>
    <row r="45">
      <c r="A45" s="22" t="n"/>
      <c r="B45" s="23" t="n"/>
      <c r="C45" s="23" t="n"/>
      <c r="D45" s="23" t="n"/>
      <c r="E45" s="23" t="n">
        <v>20</v>
      </c>
      <c r="F45" s="23" t="n">
        <v>0</v>
      </c>
      <c r="G45" s="9" t="n"/>
      <c r="H45" s="10" t="n"/>
      <c r="I45" s="11" t="n"/>
    </row>
    <row r="46">
      <c r="A46" s="22" t="n"/>
      <c r="B46" s="23" t="n"/>
      <c r="C46" s="23" t="n"/>
      <c r="D46" s="23" t="n"/>
      <c r="E46" s="23" t="n">
        <v>19</v>
      </c>
      <c r="F46" s="23" t="n">
        <v>0</v>
      </c>
      <c r="G46" s="9" t="n"/>
      <c r="H46" s="10" t="n"/>
      <c r="I46" s="11" t="n"/>
    </row>
    <row r="47">
      <c r="A47" s="22" t="n"/>
      <c r="B47" s="23" t="n"/>
      <c r="C47" s="23" t="n"/>
      <c r="D47" s="23" t="n"/>
      <c r="E47" s="23" t="n">
        <v>18</v>
      </c>
      <c r="F47" s="23" t="n">
        <v>0</v>
      </c>
      <c r="G47" s="9" t="n"/>
      <c r="H47" s="10" t="n"/>
      <c r="I47" s="11" t="n"/>
    </row>
    <row r="48">
      <c r="A48" s="22" t="n"/>
      <c r="B48" s="23" t="n"/>
      <c r="C48" s="23" t="n"/>
      <c r="D48" s="23" t="n"/>
      <c r="E48" s="23" t="n">
        <v>17</v>
      </c>
      <c r="F48" s="23" t="n">
        <v>0</v>
      </c>
      <c r="G48" s="9" t="n"/>
      <c r="H48" s="10" t="n"/>
      <c r="I48" s="11" t="n"/>
    </row>
    <row r="49">
      <c r="A49" s="22" t="n"/>
      <c r="B49" s="23" t="n"/>
      <c r="C49" s="23" t="n"/>
      <c r="D49" s="23" t="n"/>
      <c r="E49" s="23" t="n">
        <v>16</v>
      </c>
      <c r="F49" s="23" t="n">
        <v>0</v>
      </c>
      <c r="G49" s="9" t="n"/>
      <c r="H49" s="10" t="n"/>
      <c r="I49" s="11" t="n"/>
    </row>
    <row r="50">
      <c r="A50" s="22" t="n"/>
      <c r="B50" s="23" t="n"/>
      <c r="C50" s="23" t="n"/>
      <c r="D50" s="23" t="str">
        <f>DEC2HEX(128*F50+64*F51+32*F52+16*F53+8*F54+4*F55+2*F56+1*F57,2)&amp;"h"</f>
        <v>00h</v>
      </c>
      <c r="E50" s="23" t="n">
        <v>15</v>
      </c>
      <c r="F50" s="23" t="n">
        <v>0</v>
      </c>
      <c r="G50" s="9" t="n"/>
      <c r="H50" s="10" t="n"/>
      <c r="I50" s="11" t="n"/>
    </row>
    <row r="51">
      <c r="A51" s="22" t="n"/>
      <c r="B51" s="23" t="n"/>
      <c r="C51" s="23" t="n"/>
      <c r="D51" s="23" t="n"/>
      <c r="E51" s="23" t="n">
        <v>14</v>
      </c>
      <c r="F51" s="23" t="n">
        <v>0</v>
      </c>
      <c r="G51" s="9" t="n"/>
      <c r="H51" s="10" t="n"/>
      <c r="I51" s="11" t="n"/>
    </row>
    <row r="52">
      <c r="A52" s="22" t="n"/>
      <c r="B52" s="23" t="n"/>
      <c r="C52" s="23" t="n"/>
      <c r="D52" s="23" t="n"/>
      <c r="E52" s="23" t="n">
        <v>13</v>
      </c>
      <c r="F52" s="23" t="n">
        <v>0</v>
      </c>
      <c r="G52" s="9" t="n"/>
      <c r="H52" s="10" t="n"/>
      <c r="I52" s="11" t="n"/>
    </row>
    <row r="53">
      <c r="A53" s="22" t="n"/>
      <c r="B53" s="23" t="n"/>
      <c r="C53" s="23" t="n"/>
      <c r="D53" s="23" t="n"/>
      <c r="E53" s="23" t="n">
        <v>12</v>
      </c>
      <c r="F53" s="23" t="n">
        <v>0</v>
      </c>
      <c r="G53" s="9" t="n"/>
      <c r="H53" s="10" t="n"/>
      <c r="I53" s="11" t="n"/>
    </row>
    <row r="54">
      <c r="A54" s="22" t="n"/>
      <c r="B54" s="23" t="n"/>
      <c r="C54" s="23" t="n"/>
      <c r="D54" s="23" t="n"/>
      <c r="E54" s="23" t="n">
        <v>11</v>
      </c>
      <c r="F54" s="23" t="n">
        <v>0</v>
      </c>
      <c r="G54" s="12" t="inlineStr">
        <is>
          <t>device_clock_phase</t>
        </is>
      </c>
      <c r="H54" s="13" t="inlineStr">
        <is>
          <t>RW</t>
        </is>
      </c>
      <c r="I54" s="14" t="inlineStr">
        <is>
          <t>初始时钟相位值，
若开启了 slice_mode 相位会自动调整，该配置将无效</t>
        </is>
      </c>
    </row>
    <row r="55">
      <c r="A55" s="22" t="n"/>
      <c r="B55" s="23" t="n"/>
      <c r="C55" s="23" t="n"/>
      <c r="D55" s="23" t="n"/>
      <c r="E55" s="23" t="n">
        <v>10</v>
      </c>
      <c r="F55" s="23" t="n">
        <v>0</v>
      </c>
      <c r="G55" s="12" t="n"/>
      <c r="H55" s="13" t="n"/>
      <c r="I55" s="14" t="n"/>
    </row>
    <row r="56">
      <c r="A56" s="22" t="n"/>
      <c r="B56" s="23" t="n"/>
      <c r="C56" s="23" t="n"/>
      <c r="D56" s="23" t="n"/>
      <c r="E56" s="23" t="n">
        <v>9</v>
      </c>
      <c r="F56" s="23" t="n">
        <v>0</v>
      </c>
      <c r="G56" s="12" t="n"/>
      <c r="H56" s="13" t="n"/>
      <c r="I56" s="14" t="n"/>
    </row>
    <row r="57">
      <c r="A57" s="22" t="n"/>
      <c r="B57" s="23" t="n"/>
      <c r="C57" s="23" t="n"/>
      <c r="D57" s="23" t="n"/>
      <c r="E57" s="23" t="n">
        <v>8</v>
      </c>
      <c r="F57" s="23" t="n">
        <v>0</v>
      </c>
      <c r="G57" s="12" t="n"/>
      <c r="H57" s="13" t="n"/>
      <c r="I57" s="14" t="n"/>
    </row>
    <row r="58">
      <c r="A58" s="22" t="n"/>
      <c r="B58" s="23" t="n"/>
      <c r="C58" s="23" t="n"/>
      <c r="D58" s="23" t="str">
        <f>DEC2HEX(128*F58+64*F59+32*F60+16*F61+8*F62+4*F63+2*F64+1*F65,2)&amp;"h"</f>
        <v>00h</v>
      </c>
      <c r="E58" s="23" t="n">
        <v>7</v>
      </c>
      <c r="F58" s="23" t="n">
        <v>0</v>
      </c>
      <c r="G58" s="9" t="inlineStr">
        <is>
          <t>RESERVED</t>
        </is>
      </c>
      <c r="H58" s="10" t="inlineStr">
        <is>
          <t>RO</t>
        </is>
      </c>
      <c r="I58" s="11" t="inlineStr">
        <is>
          <t>Reserved; keep at reset value.</t>
        </is>
      </c>
    </row>
    <row r="59">
      <c r="A59" s="22" t="n"/>
      <c r="B59" s="23" t="n"/>
      <c r="C59" s="23" t="n"/>
      <c r="D59" s="23" t="n"/>
      <c r="E59" s="23" t="n">
        <v>6</v>
      </c>
      <c r="F59" s="23" t="n">
        <v>0</v>
      </c>
      <c r="G59" s="9" t="n"/>
      <c r="H59" s="10" t="n"/>
      <c r="I59" s="11" t="n"/>
    </row>
    <row r="60">
      <c r="A60" s="22" t="n"/>
      <c r="B60" s="23" t="n"/>
      <c r="C60" s="23" t="n"/>
      <c r="D60" s="23" t="n"/>
      <c r="E60" s="23" t="n">
        <v>5</v>
      </c>
      <c r="F60" s="23" t="n">
        <v>0</v>
      </c>
      <c r="G60" s="9" t="n"/>
      <c r="H60" s="10" t="n"/>
      <c r="I60" s="11" t="n"/>
    </row>
    <row r="61">
      <c r="A61" s="22" t="n"/>
      <c r="B61" s="23" t="n"/>
      <c r="C61" s="23" t="n"/>
      <c r="D61" s="23" t="n"/>
      <c r="E61" s="23" t="n">
        <v>4</v>
      </c>
      <c r="F61" s="23" t="n">
        <v>0</v>
      </c>
      <c r="G61" s="9" t="n"/>
      <c r="H61" s="10" t="n"/>
      <c r="I61" s="11" t="n"/>
    </row>
    <row r="62">
      <c r="A62" s="22" t="n"/>
      <c r="B62" s="23" t="n"/>
      <c r="C62" s="23" t="n"/>
      <c r="D62" s="23" t="n"/>
      <c r="E62" s="23" t="n">
        <v>3</v>
      </c>
      <c r="F62" s="23" t="n">
        <v>0</v>
      </c>
      <c r="G62" s="12" t="inlineStr">
        <is>
          <t>device_clock_divider</t>
        </is>
      </c>
      <c r="H62" s="13" t="inlineStr">
        <is>
          <t>RW</t>
        </is>
      </c>
      <c r="I62" s="14" t="inlineStr">
        <is>
          <t>adc 时钟分频系数，
为0时为 250M，不可配置为1，配置为1没有时钟</t>
        </is>
      </c>
    </row>
    <row r="63">
      <c r="A63" s="22" t="n"/>
      <c r="B63" s="23" t="n"/>
      <c r="C63" s="23" t="n"/>
      <c r="D63" s="23" t="n"/>
      <c r="E63" s="23" t="n">
        <v>2</v>
      </c>
      <c r="F63" s="23" t="n">
        <v>0</v>
      </c>
      <c r="G63" s="12" t="n"/>
      <c r="H63" s="13" t="n"/>
      <c r="I63" s="14" t="n"/>
    </row>
    <row r="64">
      <c r="A64" s="22" t="n"/>
      <c r="B64" s="23" t="n"/>
      <c r="C64" s="23" t="n"/>
      <c r="D64" s="23" t="n"/>
      <c r="E64" s="23" t="n">
        <v>1</v>
      </c>
      <c r="F64" s="23" t="n">
        <v>0</v>
      </c>
      <c r="G64" s="12" t="n"/>
      <c r="H64" s="13" t="n"/>
      <c r="I64" s="14" t="n"/>
    </row>
    <row r="65">
      <c r="A65" s="24" t="n"/>
      <c r="B65" s="25" t="n"/>
      <c r="C65" s="25" t="n"/>
      <c r="D65" s="25" t="n"/>
      <c r="E65" s="25" t="n">
        <v>0</v>
      </c>
      <c r="F65" s="25" t="n">
        <v>0</v>
      </c>
      <c r="G65" s="17" t="n"/>
      <c r="H65" s="18" t="n"/>
      <c r="I65" s="19" t="n"/>
    </row>
    <row r="66">
      <c r="A66" s="2" t="inlineStr">
        <is>
          <t>DATA_POINTS_PER_SAMPLE</t>
        </is>
      </c>
      <c r="B66" s="3" t="str">
        <f>DEC2HEX(8,4)&amp;"h"</f>
        <v>0008h</v>
      </c>
      <c r="C66" s="3" t="str">
        <f>LEFT(D66,2)&amp;LEFT(D74,2)&amp;LEFT(D82,2)&amp;LEFT(D90,2)&amp;"h"</f>
        <v>00000000h</v>
      </c>
      <c r="D66" s="3" t="str">
        <f>DEC2HEX(128*F66+64*F67+32*F68+16*F69+8*F70+4*F71+2*F72+1*F73,2)&amp;"h"</f>
        <v>00h</v>
      </c>
      <c r="E66" s="3" t="n">
        <v>31</v>
      </c>
      <c r="F66" s="3" t="n">
        <v>0</v>
      </c>
      <c r="G66" s="4" t="inlineStr">
        <is>
          <t>RESERVED</t>
        </is>
      </c>
      <c r="H66" s="5" t="inlineStr">
        <is>
          <t>RO</t>
        </is>
      </c>
      <c r="I66" s="6" t="inlineStr">
        <is>
          <t>Reserved; keep at reset value.</t>
        </is>
      </c>
    </row>
    <row r="67">
      <c r="A67" s="7" t="n"/>
      <c r="B67" s="8" t="n"/>
      <c r="C67" s="8" t="n"/>
      <c r="D67" s="8" t="n"/>
      <c r="E67" s="8" t="n">
        <v>30</v>
      </c>
      <c r="F67" s="8" t="n">
        <v>0</v>
      </c>
      <c r="G67" s="9" t="n"/>
      <c r="H67" s="10" t="n"/>
      <c r="I67" s="11" t="n"/>
    </row>
    <row r="68">
      <c r="A68" s="7" t="n"/>
      <c r="B68" s="8" t="n"/>
      <c r="C68" s="8" t="n"/>
      <c r="D68" s="8" t="n"/>
      <c r="E68" s="8" t="n">
        <v>29</v>
      </c>
      <c r="F68" s="8" t="n">
        <v>0</v>
      </c>
      <c r="G68" s="9" t="n"/>
      <c r="H68" s="10" t="n"/>
      <c r="I68" s="11" t="n"/>
    </row>
    <row r="69">
      <c r="A69" s="7" t="n"/>
      <c r="B69" s="8" t="n"/>
      <c r="C69" s="8" t="n"/>
      <c r="D69" s="8" t="n"/>
      <c r="E69" s="8" t="n">
        <v>28</v>
      </c>
      <c r="F69" s="8" t="n">
        <v>0</v>
      </c>
      <c r="G69" s="9" t="n"/>
      <c r="H69" s="10" t="n"/>
      <c r="I69" s="11" t="n"/>
    </row>
    <row r="70">
      <c r="A70" s="7" t="n"/>
      <c r="B70" s="8" t="n"/>
      <c r="C70" s="8" t="n"/>
      <c r="D70" s="8" t="n"/>
      <c r="E70" s="8" t="n">
        <v>27</v>
      </c>
      <c r="F70" s="8" t="n">
        <v>0</v>
      </c>
      <c r="G70" s="9" t="n"/>
      <c r="H70" s="10" t="n"/>
      <c r="I70" s="11" t="n"/>
    </row>
    <row r="71">
      <c r="A71" s="7" t="n"/>
      <c r="B71" s="8" t="n"/>
      <c r="C71" s="8" t="n"/>
      <c r="D71" s="8" t="n"/>
      <c r="E71" s="8" t="n">
        <v>26</v>
      </c>
      <c r="F71" s="8" t="n">
        <v>0</v>
      </c>
      <c r="G71" s="9" t="n"/>
      <c r="H71" s="10" t="n"/>
      <c r="I71" s="11" t="n"/>
    </row>
    <row r="72">
      <c r="A72" s="7" t="n"/>
      <c r="B72" s="8" t="n"/>
      <c r="C72" s="8" t="n"/>
      <c r="D72" s="8" t="n"/>
      <c r="E72" s="8" t="n">
        <v>25</v>
      </c>
      <c r="F72" s="8" t="n">
        <v>0</v>
      </c>
      <c r="G72" s="9" t="n"/>
      <c r="H72" s="10" t="n"/>
      <c r="I72" s="11" t="n"/>
    </row>
    <row r="73">
      <c r="A73" s="7" t="n"/>
      <c r="B73" s="8" t="n"/>
      <c r="C73" s="8" t="n"/>
      <c r="D73" s="8" t="n"/>
      <c r="E73" s="8" t="n">
        <v>24</v>
      </c>
      <c r="F73" s="8" t="n">
        <v>0</v>
      </c>
      <c r="G73" s="9" t="n"/>
      <c r="H73" s="10" t="n"/>
      <c r="I73" s="11" t="n"/>
    </row>
    <row r="74">
      <c r="A74" s="7" t="n"/>
      <c r="B74" s="8" t="n"/>
      <c r="C74" s="8" t="n"/>
      <c r="D74" s="8" t="str">
        <f>DEC2HEX(128*F74+64*F75+32*F76+16*F77+8*F78+4*F79+2*F80+1*F81,2)&amp;"h"</f>
        <v>00h</v>
      </c>
      <c r="E74" s="8" t="n">
        <v>23</v>
      </c>
      <c r="F74" s="8" t="n">
        <v>0</v>
      </c>
      <c r="G74" s="12" t="inlineStr">
        <is>
          <t>data_points_per_sample</t>
        </is>
      </c>
      <c r="H74" s="13" t="inlineStr">
        <is>
          <t>RW</t>
        </is>
      </c>
      <c r="I74" s="14" t="inlineStr">
        <is>
          <t>一个sample的adc数据数量
配置值为实际值减一</t>
        </is>
      </c>
    </row>
    <row r="75">
      <c r="A75" s="7" t="n"/>
      <c r="B75" s="8" t="n"/>
      <c r="C75" s="8" t="n"/>
      <c r="D75" s="8" t="n"/>
      <c r="E75" s="8" t="n">
        <v>22</v>
      </c>
      <c r="F75" s="8" t="n">
        <v>0</v>
      </c>
      <c r="G75" s="12" t="n"/>
      <c r="H75" s="13" t="n"/>
      <c r="I75" s="14" t="n"/>
    </row>
    <row r="76">
      <c r="A76" s="7" t="n"/>
      <c r="B76" s="8" t="n"/>
      <c r="C76" s="8" t="n"/>
      <c r="D76" s="8" t="n"/>
      <c r="E76" s="8" t="n">
        <v>21</v>
      </c>
      <c r="F76" s="8" t="n">
        <v>0</v>
      </c>
      <c r="G76" s="12" t="n"/>
      <c r="H76" s="13" t="n"/>
      <c r="I76" s="14" t="n"/>
    </row>
    <row r="77">
      <c r="A77" s="7" t="n"/>
      <c r="B77" s="8" t="n"/>
      <c r="C77" s="8" t="n"/>
      <c r="D77" s="8" t="n"/>
      <c r="E77" s="8" t="n">
        <v>20</v>
      </c>
      <c r="F77" s="8" t="n">
        <v>0</v>
      </c>
      <c r="G77" s="12" t="n"/>
      <c r="H77" s="13" t="n"/>
      <c r="I77" s="14" t="n"/>
    </row>
    <row r="78">
      <c r="A78" s="7" t="n"/>
      <c r="B78" s="8" t="n"/>
      <c r="C78" s="8" t="n"/>
      <c r="D78" s="8" t="n"/>
      <c r="E78" s="8" t="n">
        <v>19</v>
      </c>
      <c r="F78" s="8" t="n">
        <v>0</v>
      </c>
      <c r="G78" s="12" t="n"/>
      <c r="H78" s="13" t="n"/>
      <c r="I78" s="14" t="n"/>
    </row>
    <row r="79">
      <c r="A79" s="7" t="n"/>
      <c r="B79" s="8" t="n"/>
      <c r="C79" s="8" t="n"/>
      <c r="D79" s="8" t="n"/>
      <c r="E79" s="8" t="n">
        <v>18</v>
      </c>
      <c r="F79" s="8" t="n">
        <v>0</v>
      </c>
      <c r="G79" s="12" t="n"/>
      <c r="H79" s="13" t="n"/>
      <c r="I79" s="14" t="n"/>
    </row>
    <row r="80">
      <c r="A80" s="7" t="n"/>
      <c r="B80" s="8" t="n"/>
      <c r="C80" s="8" t="n"/>
      <c r="D80" s="8" t="n"/>
      <c r="E80" s="8" t="n">
        <v>17</v>
      </c>
      <c r="F80" s="8" t="n">
        <v>0</v>
      </c>
      <c r="G80" s="12" t="n"/>
      <c r="H80" s="13" t="n"/>
      <c r="I80" s="14" t="n"/>
    </row>
    <row r="81">
      <c r="A81" s="7" t="n"/>
      <c r="B81" s="8" t="n"/>
      <c r="C81" s="8" t="n"/>
      <c r="D81" s="8" t="n"/>
      <c r="E81" s="8" t="n">
        <v>16</v>
      </c>
      <c r="F81" s="8" t="n">
        <v>0</v>
      </c>
      <c r="G81" s="12" t="n"/>
      <c r="H81" s="13" t="n"/>
      <c r="I81" s="14" t="n"/>
    </row>
    <row r="82">
      <c r="A82" s="7" t="n"/>
      <c r="B82" s="8" t="n"/>
      <c r="C82" s="8" t="n"/>
      <c r="D82" s="8" t="str">
        <f>DEC2HEX(128*F82+64*F83+32*F84+16*F85+8*F86+4*F87+2*F88+1*F89,2)&amp;"h"</f>
        <v>00h</v>
      </c>
      <c r="E82" s="8" t="n">
        <v>15</v>
      </c>
      <c r="F82" s="8" t="n">
        <v>0</v>
      </c>
      <c r="G82" s="12" t="n"/>
      <c r="H82" s="13" t="n"/>
      <c r="I82" s="14" t="n"/>
    </row>
    <row r="83">
      <c r="A83" s="7" t="n"/>
      <c r="B83" s="8" t="n"/>
      <c r="C83" s="8" t="n"/>
      <c r="D83" s="8" t="n"/>
      <c r="E83" s="8" t="n">
        <v>14</v>
      </c>
      <c r="F83" s="8" t="n">
        <v>0</v>
      </c>
      <c r="G83" s="12" t="n"/>
      <c r="H83" s="13" t="n"/>
      <c r="I83" s="14" t="n"/>
    </row>
    <row r="84">
      <c r="A84" s="7" t="n"/>
      <c r="B84" s="8" t="n"/>
      <c r="C84" s="8" t="n"/>
      <c r="D84" s="8" t="n"/>
      <c r="E84" s="8" t="n">
        <v>13</v>
      </c>
      <c r="F84" s="8" t="n">
        <v>0</v>
      </c>
      <c r="G84" s="12" t="n"/>
      <c r="H84" s="13" t="n"/>
      <c r="I84" s="14" t="n"/>
    </row>
    <row r="85">
      <c r="A85" s="7" t="n"/>
      <c r="B85" s="8" t="n"/>
      <c r="C85" s="8" t="n"/>
      <c r="D85" s="8" t="n"/>
      <c r="E85" s="8" t="n">
        <v>12</v>
      </c>
      <c r="F85" s="8" t="n">
        <v>0</v>
      </c>
      <c r="G85" s="12" t="n"/>
      <c r="H85" s="13" t="n"/>
      <c r="I85" s="14" t="n"/>
    </row>
    <row r="86">
      <c r="A86" s="7" t="n"/>
      <c r="B86" s="8" t="n"/>
      <c r="C86" s="8" t="n"/>
      <c r="D86" s="8" t="n"/>
      <c r="E86" s="8" t="n">
        <v>11</v>
      </c>
      <c r="F86" s="8" t="n">
        <v>0</v>
      </c>
      <c r="G86" s="12" t="n"/>
      <c r="H86" s="13" t="n"/>
      <c r="I86" s="14" t="n"/>
    </row>
    <row r="87">
      <c r="A87" s="7" t="n"/>
      <c r="B87" s="8" t="n"/>
      <c r="C87" s="8" t="n"/>
      <c r="D87" s="8" t="n"/>
      <c r="E87" s="8" t="n">
        <v>10</v>
      </c>
      <c r="F87" s="8" t="n">
        <v>0</v>
      </c>
      <c r="G87" s="12" t="n"/>
      <c r="H87" s="13" t="n"/>
      <c r="I87" s="14" t="n"/>
    </row>
    <row r="88">
      <c r="A88" s="7" t="n"/>
      <c r="B88" s="8" t="n"/>
      <c r="C88" s="8" t="n"/>
      <c r="D88" s="8" t="n"/>
      <c r="E88" s="8" t="n">
        <v>9</v>
      </c>
      <c r="F88" s="8" t="n">
        <v>0</v>
      </c>
      <c r="G88" s="12" t="n"/>
      <c r="H88" s="13" t="n"/>
      <c r="I88" s="14" t="n"/>
    </row>
    <row r="89">
      <c r="A89" s="7" t="n"/>
      <c r="B89" s="8" t="n"/>
      <c r="C89" s="8" t="n"/>
      <c r="D89" s="8" t="n"/>
      <c r="E89" s="8" t="n">
        <v>8</v>
      </c>
      <c r="F89" s="8" t="n">
        <v>0</v>
      </c>
      <c r="G89" s="12" t="n"/>
      <c r="H89" s="13" t="n"/>
      <c r="I89" s="14" t="n"/>
    </row>
    <row r="90">
      <c r="A90" s="7" t="n"/>
      <c r="B90" s="8" t="n"/>
      <c r="C90" s="8" t="n"/>
      <c r="D90" s="8" t="str">
        <f>DEC2HEX(128*F90+64*F91+32*F92+16*F93+8*F94+4*F95+2*F96+1*F97,2)&amp;"h"</f>
        <v>00h</v>
      </c>
      <c r="E90" s="8" t="n">
        <v>7</v>
      </c>
      <c r="F90" s="8" t="n">
        <v>0</v>
      </c>
      <c r="G90" s="12" t="n"/>
      <c r="H90" s="13" t="n"/>
      <c r="I90" s="14" t="n"/>
    </row>
    <row r="91">
      <c r="A91" s="7" t="n"/>
      <c r="B91" s="8" t="n"/>
      <c r="C91" s="8" t="n"/>
      <c r="D91" s="8" t="n"/>
      <c r="E91" s="8" t="n">
        <v>6</v>
      </c>
      <c r="F91" s="8" t="n">
        <v>0</v>
      </c>
      <c r="G91" s="12" t="n"/>
      <c r="H91" s="13" t="n"/>
      <c r="I91" s="14" t="n"/>
    </row>
    <row r="92">
      <c r="A92" s="7" t="n"/>
      <c r="B92" s="8" t="n"/>
      <c r="C92" s="8" t="n"/>
      <c r="D92" s="8" t="n"/>
      <c r="E92" s="8" t="n">
        <v>5</v>
      </c>
      <c r="F92" s="8" t="n">
        <v>0</v>
      </c>
      <c r="G92" s="12" t="n"/>
      <c r="H92" s="13" t="n"/>
      <c r="I92" s="14" t="n"/>
    </row>
    <row r="93">
      <c r="A93" s="7" t="n"/>
      <c r="B93" s="8" t="n"/>
      <c r="C93" s="8" t="n"/>
      <c r="D93" s="8" t="n"/>
      <c r="E93" s="8" t="n">
        <v>4</v>
      </c>
      <c r="F93" s="8" t="n">
        <v>0</v>
      </c>
      <c r="G93" s="12" t="n"/>
      <c r="H93" s="13" t="n"/>
      <c r="I93" s="14" t="n"/>
    </row>
    <row r="94">
      <c r="A94" s="7" t="n"/>
      <c r="B94" s="8" t="n"/>
      <c r="C94" s="8" t="n"/>
      <c r="D94" s="8" t="n"/>
      <c r="E94" s="8" t="n">
        <v>3</v>
      </c>
      <c r="F94" s="8" t="n">
        <v>0</v>
      </c>
      <c r="G94" s="12" t="n"/>
      <c r="H94" s="13" t="n"/>
      <c r="I94" s="14" t="n"/>
    </row>
    <row r="95">
      <c r="A95" s="7" t="n"/>
      <c r="B95" s="8" t="n"/>
      <c r="C95" s="8" t="n"/>
      <c r="D95" s="8" t="n"/>
      <c r="E95" s="8" t="n">
        <v>2</v>
      </c>
      <c r="F95" s="8" t="n">
        <v>0</v>
      </c>
      <c r="G95" s="12" t="n"/>
      <c r="H95" s="13" t="n"/>
      <c r="I95" s="14" t="n"/>
    </row>
    <row r="96">
      <c r="A96" s="7" t="n"/>
      <c r="B96" s="8" t="n"/>
      <c r="C96" s="8" t="n"/>
      <c r="D96" s="8" t="n"/>
      <c r="E96" s="8" t="n">
        <v>1</v>
      </c>
      <c r="F96" s="8" t="n">
        <v>0</v>
      </c>
      <c r="G96" s="12" t="n"/>
      <c r="H96" s="13" t="n"/>
      <c r="I96" s="14" t="n"/>
    </row>
    <row r="97">
      <c r="A97" s="15" t="n"/>
      <c r="B97" s="16" t="n"/>
      <c r="C97" s="16" t="n"/>
      <c r="D97" s="16" t="n"/>
      <c r="E97" s="16" t="n">
        <v>0</v>
      </c>
      <c r="F97" s="16" t="n">
        <v>0</v>
      </c>
      <c r="G97" s="17" t="n"/>
      <c r="H97" s="18" t="n"/>
      <c r="I97" s="19" t="n"/>
    </row>
    <row r="98">
      <c r="A98" s="20" t="inlineStr">
        <is>
          <t>DATA_POINTS_PER_SLICE</t>
        </is>
      </c>
      <c r="B98" s="21" t="str">
        <f>DEC2HEX(12,4)&amp;"h"</f>
        <v>000Ch</v>
      </c>
      <c r="C98" s="21" t="str">
        <f>LEFT(D98,2)&amp;LEFT(D106,2)&amp;LEFT(D114,2)&amp;LEFT(D122,2)&amp;"h"</f>
        <v>00000000h</v>
      </c>
      <c r="D98" s="21" t="str">
        <f>DEC2HEX(128*F98+64*F99+32*F100+16*F101+8*F102+4*F103+2*F104+1*F105,2)&amp;"h"</f>
        <v>00h</v>
      </c>
      <c r="E98" s="21" t="n">
        <v>31</v>
      </c>
      <c r="F98" s="21" t="n">
        <v>0</v>
      </c>
      <c r="G98" s="4" t="inlineStr">
        <is>
          <t>RESERVED</t>
        </is>
      </c>
      <c r="H98" s="5" t="inlineStr">
        <is>
          <t>RO</t>
        </is>
      </c>
      <c r="I98" s="6" t="inlineStr">
        <is>
          <t>Reserved; keep at reset value.</t>
        </is>
      </c>
    </row>
    <row r="99">
      <c r="A99" s="22" t="n"/>
      <c r="B99" s="23" t="n"/>
      <c r="C99" s="23" t="n"/>
      <c r="D99" s="23" t="n"/>
      <c r="E99" s="23" t="n">
        <v>30</v>
      </c>
      <c r="F99" s="23" t="n">
        <v>0</v>
      </c>
      <c r="G99" s="9" t="n"/>
      <c r="H99" s="10" t="n"/>
      <c r="I99" s="11" t="n"/>
    </row>
    <row r="100">
      <c r="A100" s="22" t="n"/>
      <c r="B100" s="23" t="n"/>
      <c r="C100" s="23" t="n"/>
      <c r="D100" s="23" t="n"/>
      <c r="E100" s="23" t="n">
        <v>29</v>
      </c>
      <c r="F100" s="23" t="n">
        <v>0</v>
      </c>
      <c r="G100" s="9" t="n"/>
      <c r="H100" s="10" t="n"/>
      <c r="I100" s="11" t="n"/>
    </row>
    <row r="101">
      <c r="A101" s="22" t="n"/>
      <c r="B101" s="23" t="n"/>
      <c r="C101" s="23" t="n"/>
      <c r="D101" s="23" t="n"/>
      <c r="E101" s="23" t="n">
        <v>28</v>
      </c>
      <c r="F101" s="23" t="n">
        <v>0</v>
      </c>
      <c r="G101" s="9" t="n"/>
      <c r="H101" s="10" t="n"/>
      <c r="I101" s="11" t="n"/>
    </row>
    <row r="102">
      <c r="A102" s="22" t="n"/>
      <c r="B102" s="23" t="n"/>
      <c r="C102" s="23" t="n"/>
      <c r="D102" s="23" t="n"/>
      <c r="E102" s="23" t="n">
        <v>27</v>
      </c>
      <c r="F102" s="23" t="n">
        <v>0</v>
      </c>
      <c r="G102" s="9" t="n"/>
      <c r="H102" s="10" t="n"/>
      <c r="I102" s="11" t="n"/>
    </row>
    <row r="103">
      <c r="A103" s="22" t="n"/>
      <c r="B103" s="23" t="n"/>
      <c r="C103" s="23" t="n"/>
      <c r="D103" s="23" t="n"/>
      <c r="E103" s="23" t="n">
        <v>26</v>
      </c>
      <c r="F103" s="23" t="n">
        <v>0</v>
      </c>
      <c r="G103" s="9" t="n"/>
      <c r="H103" s="10" t="n"/>
      <c r="I103" s="11" t="n"/>
    </row>
    <row r="104">
      <c r="A104" s="22" t="n"/>
      <c r="B104" s="23" t="n"/>
      <c r="C104" s="23" t="n"/>
      <c r="D104" s="23" t="n"/>
      <c r="E104" s="23" t="n">
        <v>25</v>
      </c>
      <c r="F104" s="23" t="n">
        <v>0</v>
      </c>
      <c r="G104" s="9" t="n"/>
      <c r="H104" s="10" t="n"/>
      <c r="I104" s="11" t="n"/>
    </row>
    <row r="105">
      <c r="A105" s="22" t="n"/>
      <c r="B105" s="23" t="n"/>
      <c r="C105" s="23" t="n"/>
      <c r="D105" s="23" t="n"/>
      <c r="E105" s="23" t="n">
        <v>24</v>
      </c>
      <c r="F105" s="23" t="n">
        <v>0</v>
      </c>
      <c r="G105" s="9" t="n"/>
      <c r="H105" s="10" t="n"/>
      <c r="I105" s="11" t="n"/>
    </row>
    <row r="106">
      <c r="A106" s="22" t="n"/>
      <c r="B106" s="23" t="n"/>
      <c r="C106" s="23" t="n"/>
      <c r="D106" s="23" t="str">
        <f>DEC2HEX(128*F106+64*F107+32*F108+16*F109+8*F110+4*F111+2*F112+1*F113,2)&amp;"h"</f>
        <v>00h</v>
      </c>
      <c r="E106" s="23" t="n">
        <v>23</v>
      </c>
      <c r="F106" s="23" t="n">
        <v>0</v>
      </c>
      <c r="G106" s="12" t="inlineStr">
        <is>
          <t>data_points_per_slice</t>
        </is>
      </c>
      <c r="H106" s="13" t="inlineStr">
        <is>
          <t>RW</t>
        </is>
      </c>
      <c r="I106" s="14" t="inlineStr">
        <is>
          <t>每个 slice 采样的数据，配置值为实际值减一
slices_per_sample * data_points_per_slice 必须等于 data_points_per_sample</t>
        </is>
      </c>
    </row>
    <row r="107">
      <c r="A107" s="22" t="n"/>
      <c r="B107" s="23" t="n"/>
      <c r="C107" s="23" t="n"/>
      <c r="D107" s="23" t="n"/>
      <c r="E107" s="23" t="n">
        <v>22</v>
      </c>
      <c r="F107" s="23" t="n">
        <v>0</v>
      </c>
      <c r="G107" s="12" t="n"/>
      <c r="H107" s="13" t="n"/>
      <c r="I107" s="14" t="n"/>
    </row>
    <row r="108">
      <c r="A108" s="22" t="n"/>
      <c r="B108" s="23" t="n"/>
      <c r="C108" s="23" t="n"/>
      <c r="D108" s="23" t="n"/>
      <c r="E108" s="23" t="n">
        <v>21</v>
      </c>
      <c r="F108" s="23" t="n">
        <v>0</v>
      </c>
      <c r="G108" s="12" t="n"/>
      <c r="H108" s="13" t="n"/>
      <c r="I108" s="14" t="n"/>
    </row>
    <row r="109">
      <c r="A109" s="22" t="n"/>
      <c r="B109" s="23" t="n"/>
      <c r="C109" s="23" t="n"/>
      <c r="D109" s="23" t="n"/>
      <c r="E109" s="23" t="n">
        <v>20</v>
      </c>
      <c r="F109" s="23" t="n">
        <v>0</v>
      </c>
      <c r="G109" s="12" t="n"/>
      <c r="H109" s="13" t="n"/>
      <c r="I109" s="14" t="n"/>
    </row>
    <row r="110">
      <c r="A110" s="22" t="n"/>
      <c r="B110" s="23" t="n"/>
      <c r="C110" s="23" t="n"/>
      <c r="D110" s="23" t="n"/>
      <c r="E110" s="23" t="n">
        <v>19</v>
      </c>
      <c r="F110" s="23" t="n">
        <v>0</v>
      </c>
      <c r="G110" s="12" t="n"/>
      <c r="H110" s="13" t="n"/>
      <c r="I110" s="14" t="n"/>
    </row>
    <row r="111">
      <c r="A111" s="22" t="n"/>
      <c r="B111" s="23" t="n"/>
      <c r="C111" s="23" t="n"/>
      <c r="D111" s="23" t="n"/>
      <c r="E111" s="23" t="n">
        <v>18</v>
      </c>
      <c r="F111" s="23" t="n">
        <v>0</v>
      </c>
      <c r="G111" s="12" t="n"/>
      <c r="H111" s="13" t="n"/>
      <c r="I111" s="14" t="n"/>
    </row>
    <row r="112">
      <c r="A112" s="22" t="n"/>
      <c r="B112" s="23" t="n"/>
      <c r="C112" s="23" t="n"/>
      <c r="D112" s="23" t="n"/>
      <c r="E112" s="23" t="n">
        <v>17</v>
      </c>
      <c r="F112" s="23" t="n">
        <v>0</v>
      </c>
      <c r="G112" s="12" t="n"/>
      <c r="H112" s="13" t="n"/>
      <c r="I112" s="14" t="n"/>
    </row>
    <row r="113">
      <c r="A113" s="22" t="n"/>
      <c r="B113" s="23" t="n"/>
      <c r="C113" s="23" t="n"/>
      <c r="D113" s="23" t="n"/>
      <c r="E113" s="23" t="n">
        <v>16</v>
      </c>
      <c r="F113" s="23" t="n">
        <v>0</v>
      </c>
      <c r="G113" s="12" t="n"/>
      <c r="H113" s="13" t="n"/>
      <c r="I113" s="14" t="n"/>
    </row>
    <row r="114">
      <c r="A114" s="22" t="n"/>
      <c r="B114" s="23" t="n"/>
      <c r="C114" s="23" t="n"/>
      <c r="D114" s="23" t="str">
        <f>DEC2HEX(128*F114+64*F115+32*F116+16*F117+8*F118+4*F119+2*F120+1*F121,2)&amp;"h"</f>
        <v>00h</v>
      </c>
      <c r="E114" s="23" t="n">
        <v>15</v>
      </c>
      <c r="F114" s="23" t="n">
        <v>0</v>
      </c>
      <c r="G114" s="12" t="n"/>
      <c r="H114" s="13" t="n"/>
      <c r="I114" s="14" t="n"/>
    </row>
    <row r="115">
      <c r="A115" s="22" t="n"/>
      <c r="B115" s="23" t="n"/>
      <c r="C115" s="23" t="n"/>
      <c r="D115" s="23" t="n"/>
      <c r="E115" s="23" t="n">
        <v>14</v>
      </c>
      <c r="F115" s="23" t="n">
        <v>0</v>
      </c>
      <c r="G115" s="12" t="n"/>
      <c r="H115" s="13" t="n"/>
      <c r="I115" s="14" t="n"/>
    </row>
    <row r="116">
      <c r="A116" s="22" t="n"/>
      <c r="B116" s="23" t="n"/>
      <c r="C116" s="23" t="n"/>
      <c r="D116" s="23" t="n"/>
      <c r="E116" s="23" t="n">
        <v>13</v>
      </c>
      <c r="F116" s="23" t="n">
        <v>0</v>
      </c>
      <c r="G116" s="12" t="n"/>
      <c r="H116" s="13" t="n"/>
      <c r="I116" s="14" t="n"/>
    </row>
    <row r="117">
      <c r="A117" s="22" t="n"/>
      <c r="B117" s="23" t="n"/>
      <c r="C117" s="23" t="n"/>
      <c r="D117" s="23" t="n"/>
      <c r="E117" s="23" t="n">
        <v>12</v>
      </c>
      <c r="F117" s="23" t="n">
        <v>0</v>
      </c>
      <c r="G117" s="12" t="n"/>
      <c r="H117" s="13" t="n"/>
      <c r="I117" s="14" t="n"/>
    </row>
    <row r="118">
      <c r="A118" s="22" t="n"/>
      <c r="B118" s="23" t="n"/>
      <c r="C118" s="23" t="n"/>
      <c r="D118" s="23" t="n"/>
      <c r="E118" s="23" t="n">
        <v>11</v>
      </c>
      <c r="F118" s="23" t="n">
        <v>0</v>
      </c>
      <c r="G118" s="12" t="n"/>
      <c r="H118" s="13" t="n"/>
      <c r="I118" s="14" t="n"/>
    </row>
    <row r="119">
      <c r="A119" s="22" t="n"/>
      <c r="B119" s="23" t="n"/>
      <c r="C119" s="23" t="n"/>
      <c r="D119" s="23" t="n"/>
      <c r="E119" s="23" t="n">
        <v>10</v>
      </c>
      <c r="F119" s="23" t="n">
        <v>0</v>
      </c>
      <c r="G119" s="12" t="n"/>
      <c r="H119" s="13" t="n"/>
      <c r="I119" s="14" t="n"/>
    </row>
    <row r="120">
      <c r="A120" s="22" t="n"/>
      <c r="B120" s="23" t="n"/>
      <c r="C120" s="23" t="n"/>
      <c r="D120" s="23" t="n"/>
      <c r="E120" s="23" t="n">
        <v>9</v>
      </c>
      <c r="F120" s="23" t="n">
        <v>0</v>
      </c>
      <c r="G120" s="12" t="n"/>
      <c r="H120" s="13" t="n"/>
      <c r="I120" s="14" t="n"/>
    </row>
    <row r="121">
      <c r="A121" s="22" t="n"/>
      <c r="B121" s="23" t="n"/>
      <c r="C121" s="23" t="n"/>
      <c r="D121" s="23" t="n"/>
      <c r="E121" s="23" t="n">
        <v>8</v>
      </c>
      <c r="F121" s="23" t="n">
        <v>0</v>
      </c>
      <c r="G121" s="12" t="n"/>
      <c r="H121" s="13" t="n"/>
      <c r="I121" s="14" t="n"/>
    </row>
    <row r="122">
      <c r="A122" s="22" t="n"/>
      <c r="B122" s="23" t="n"/>
      <c r="C122" s="23" t="n"/>
      <c r="D122" s="23" t="str">
        <f>DEC2HEX(128*F122+64*F123+32*F124+16*F125+8*F126+4*F127+2*F128+1*F129,2)&amp;"h"</f>
        <v>00h</v>
      </c>
      <c r="E122" s="23" t="n">
        <v>7</v>
      </c>
      <c r="F122" s="23" t="n">
        <v>0</v>
      </c>
      <c r="G122" s="12" t="n"/>
      <c r="H122" s="13" t="n"/>
      <c r="I122" s="14" t="n"/>
    </row>
    <row r="123">
      <c r="A123" s="22" t="n"/>
      <c r="B123" s="23" t="n"/>
      <c r="C123" s="23" t="n"/>
      <c r="D123" s="23" t="n"/>
      <c r="E123" s="23" t="n">
        <v>6</v>
      </c>
      <c r="F123" s="23" t="n">
        <v>0</v>
      </c>
      <c r="G123" s="12" t="n"/>
      <c r="H123" s="13" t="n"/>
      <c r="I123" s="14" t="n"/>
    </row>
    <row r="124">
      <c r="A124" s="22" t="n"/>
      <c r="B124" s="23" t="n"/>
      <c r="C124" s="23" t="n"/>
      <c r="D124" s="23" t="n"/>
      <c r="E124" s="23" t="n">
        <v>5</v>
      </c>
      <c r="F124" s="23" t="n">
        <v>0</v>
      </c>
      <c r="G124" s="12" t="n"/>
      <c r="H124" s="13" t="n"/>
      <c r="I124" s="14" t="n"/>
    </row>
    <row r="125">
      <c r="A125" s="22" t="n"/>
      <c r="B125" s="23" t="n"/>
      <c r="C125" s="23" t="n"/>
      <c r="D125" s="23" t="n"/>
      <c r="E125" s="23" t="n">
        <v>4</v>
      </c>
      <c r="F125" s="23" t="n">
        <v>0</v>
      </c>
      <c r="G125" s="12" t="n"/>
      <c r="H125" s="13" t="n"/>
      <c r="I125" s="14" t="n"/>
    </row>
    <row r="126">
      <c r="A126" s="22" t="n"/>
      <c r="B126" s="23" t="n"/>
      <c r="C126" s="23" t="n"/>
      <c r="D126" s="23" t="n"/>
      <c r="E126" s="23" t="n">
        <v>3</v>
      </c>
      <c r="F126" s="23" t="n">
        <v>0</v>
      </c>
      <c r="G126" s="12" t="n"/>
      <c r="H126" s="13" t="n"/>
      <c r="I126" s="14" t="n"/>
    </row>
    <row r="127">
      <c r="A127" s="22" t="n"/>
      <c r="B127" s="23" t="n"/>
      <c r="C127" s="23" t="n"/>
      <c r="D127" s="23" t="n"/>
      <c r="E127" s="23" t="n">
        <v>2</v>
      </c>
      <c r="F127" s="23" t="n">
        <v>0</v>
      </c>
      <c r="G127" s="12" t="n"/>
      <c r="H127" s="13" t="n"/>
      <c r="I127" s="14" t="n"/>
    </row>
    <row r="128">
      <c r="A128" s="22" t="n"/>
      <c r="B128" s="23" t="n"/>
      <c r="C128" s="23" t="n"/>
      <c r="D128" s="23" t="n"/>
      <c r="E128" s="23" t="n">
        <v>1</v>
      </c>
      <c r="F128" s="23" t="n">
        <v>0</v>
      </c>
      <c r="G128" s="12" t="n"/>
      <c r="H128" s="13" t="n"/>
      <c r="I128" s="14" t="n"/>
    </row>
    <row r="129">
      <c r="A129" s="24" t="n"/>
      <c r="B129" s="25" t="n"/>
      <c r="C129" s="25" t="n"/>
      <c r="D129" s="25" t="n"/>
      <c r="E129" s="25" t="n">
        <v>0</v>
      </c>
      <c r="F129" s="25" t="n">
        <v>0</v>
      </c>
      <c r="G129" s="17" t="n"/>
      <c r="H129" s="18" t="n"/>
      <c r="I129" s="19" t="n"/>
    </row>
    <row r="130">
      <c r="A130" s="2" t="inlineStr">
        <is>
          <t>SAMPLES_PER_BATCH</t>
        </is>
      </c>
      <c r="B130" s="3" t="str">
        <f>DEC2HEX(16,4)&amp;"h"</f>
        <v>0010h</v>
      </c>
      <c r="C130" s="3" t="str">
        <f>LEFT(D130,2)&amp;LEFT(D138,2)&amp;LEFT(D146,2)&amp;LEFT(D154,2)&amp;"h"</f>
        <v>00000002h</v>
      </c>
      <c r="D130" s="3" t="str">
        <f>DEC2HEX(128*F130+64*F131+32*F132+16*F133+8*F134+4*F135+2*F136+1*F137,2)&amp;"h"</f>
        <v>00h</v>
      </c>
      <c r="E130" s="3" t="n">
        <v>31</v>
      </c>
      <c r="F130" s="3" t="n">
        <v>0</v>
      </c>
      <c r="G130" s="4" t="inlineStr">
        <is>
          <t>RESERVED</t>
        </is>
      </c>
      <c r="H130" s="5" t="inlineStr">
        <is>
          <t>RO</t>
        </is>
      </c>
      <c r="I130" s="6" t="inlineStr">
        <is>
          <t>Reserved; keep at reset value.</t>
        </is>
      </c>
    </row>
    <row r="131">
      <c r="A131" s="7" t="n"/>
      <c r="B131" s="8" t="n"/>
      <c r="C131" s="8" t="n"/>
      <c r="D131" s="8" t="n"/>
      <c r="E131" s="8" t="n">
        <v>30</v>
      </c>
      <c r="F131" s="8" t="n">
        <v>0</v>
      </c>
      <c r="G131" s="9" t="n"/>
      <c r="H131" s="10" t="n"/>
      <c r="I131" s="11" t="n"/>
    </row>
    <row r="132">
      <c r="A132" s="7" t="n"/>
      <c r="B132" s="8" t="n"/>
      <c r="C132" s="8" t="n"/>
      <c r="D132" s="8" t="n"/>
      <c r="E132" s="8" t="n">
        <v>29</v>
      </c>
      <c r="F132" s="8" t="n">
        <v>0</v>
      </c>
      <c r="G132" s="9" t="n"/>
      <c r="H132" s="10" t="n"/>
      <c r="I132" s="11" t="n"/>
    </row>
    <row r="133">
      <c r="A133" s="7" t="n"/>
      <c r="B133" s="8" t="n"/>
      <c r="C133" s="8" t="n"/>
      <c r="D133" s="8" t="n"/>
      <c r="E133" s="8" t="n">
        <v>28</v>
      </c>
      <c r="F133" s="8" t="n">
        <v>0</v>
      </c>
      <c r="G133" s="9" t="n"/>
      <c r="H133" s="10" t="n"/>
      <c r="I133" s="11" t="n"/>
    </row>
    <row r="134">
      <c r="A134" s="7" t="n"/>
      <c r="B134" s="8" t="n"/>
      <c r="C134" s="8" t="n"/>
      <c r="D134" s="8" t="n"/>
      <c r="E134" s="8" t="n">
        <v>27</v>
      </c>
      <c r="F134" s="8" t="n">
        <v>0</v>
      </c>
      <c r="G134" s="9" t="n"/>
      <c r="H134" s="10" t="n"/>
      <c r="I134" s="11" t="n"/>
    </row>
    <row r="135">
      <c r="A135" s="7" t="n"/>
      <c r="B135" s="8" t="n"/>
      <c r="C135" s="8" t="n"/>
      <c r="D135" s="8" t="n"/>
      <c r="E135" s="8" t="n">
        <v>26</v>
      </c>
      <c r="F135" s="8" t="n">
        <v>0</v>
      </c>
      <c r="G135" s="9" t="n"/>
      <c r="H135" s="10" t="n"/>
      <c r="I135" s="11" t="n"/>
    </row>
    <row r="136">
      <c r="A136" s="7" t="n"/>
      <c r="B136" s="8" t="n"/>
      <c r="C136" s="8" t="n"/>
      <c r="D136" s="8" t="n"/>
      <c r="E136" s="8" t="n">
        <v>25</v>
      </c>
      <c r="F136" s="8" t="n">
        <v>0</v>
      </c>
      <c r="G136" s="9" t="n"/>
      <c r="H136" s="10" t="n"/>
      <c r="I136" s="11" t="n"/>
    </row>
    <row r="137">
      <c r="A137" s="7" t="n"/>
      <c r="B137" s="8" t="n"/>
      <c r="C137" s="8" t="n"/>
      <c r="D137" s="8" t="n"/>
      <c r="E137" s="8" t="n">
        <v>24</v>
      </c>
      <c r="F137" s="8" t="n">
        <v>0</v>
      </c>
      <c r="G137" s="9" t="n"/>
      <c r="H137" s="10" t="n"/>
      <c r="I137" s="11" t="n"/>
    </row>
    <row r="138">
      <c r="A138" s="7" t="n"/>
      <c r="B138" s="8" t="n"/>
      <c r="C138" s="8" t="n"/>
      <c r="D138" s="8" t="str">
        <f>DEC2HEX(128*F138+64*F139+32*F140+16*F141+8*F142+4*F143+2*F144+1*F145,2)&amp;"h"</f>
        <v>00h</v>
      </c>
      <c r="E138" s="8" t="n">
        <v>23</v>
      </c>
      <c r="F138" s="8" t="n">
        <v>0</v>
      </c>
      <c r="G138" s="12" t="inlineStr">
        <is>
          <t>samples_per_batch</t>
        </is>
      </c>
      <c r="H138" s="13" t="inlineStr">
        <is>
          <t>RW</t>
        </is>
      </c>
      <c r="I138" s="14" t="inlineStr">
        <is>
          <t>一个 batch 累加的 sample 数。
配置值为实际值减一</t>
        </is>
      </c>
    </row>
    <row r="139">
      <c r="A139" s="7" t="n"/>
      <c r="B139" s="8" t="n"/>
      <c r="C139" s="8" t="n"/>
      <c r="D139" s="8" t="n"/>
      <c r="E139" s="8" t="n">
        <v>22</v>
      </c>
      <c r="F139" s="8" t="n">
        <v>0</v>
      </c>
      <c r="G139" s="12" t="n"/>
      <c r="H139" s="13" t="n"/>
      <c r="I139" s="14" t="n"/>
    </row>
    <row r="140">
      <c r="A140" s="7" t="n"/>
      <c r="B140" s="8" t="n"/>
      <c r="C140" s="8" t="n"/>
      <c r="D140" s="8" t="n"/>
      <c r="E140" s="8" t="n">
        <v>21</v>
      </c>
      <c r="F140" s="8" t="n">
        <v>0</v>
      </c>
      <c r="G140" s="12" t="n"/>
      <c r="H140" s="13" t="n"/>
      <c r="I140" s="14" t="n"/>
    </row>
    <row r="141">
      <c r="A141" s="7" t="n"/>
      <c r="B141" s="8" t="n"/>
      <c r="C141" s="8" t="n"/>
      <c r="D141" s="8" t="n"/>
      <c r="E141" s="8" t="n">
        <v>20</v>
      </c>
      <c r="F141" s="8" t="n">
        <v>0</v>
      </c>
      <c r="G141" s="12" t="n"/>
      <c r="H141" s="13" t="n"/>
      <c r="I141" s="14" t="n"/>
    </row>
    <row r="142">
      <c r="A142" s="7" t="n"/>
      <c r="B142" s="8" t="n"/>
      <c r="C142" s="8" t="n"/>
      <c r="D142" s="8" t="n"/>
      <c r="E142" s="8" t="n">
        <v>19</v>
      </c>
      <c r="F142" s="8" t="n">
        <v>0</v>
      </c>
      <c r="G142" s="12" t="n"/>
      <c r="H142" s="13" t="n"/>
      <c r="I142" s="14" t="n"/>
    </row>
    <row r="143">
      <c r="A143" s="7" t="n"/>
      <c r="B143" s="8" t="n"/>
      <c r="C143" s="8" t="n"/>
      <c r="D143" s="8" t="n"/>
      <c r="E143" s="8" t="n">
        <v>18</v>
      </c>
      <c r="F143" s="8" t="n">
        <v>0</v>
      </c>
      <c r="G143" s="12" t="n"/>
      <c r="H143" s="13" t="n"/>
      <c r="I143" s="14" t="n"/>
    </row>
    <row r="144">
      <c r="A144" s="7" t="n"/>
      <c r="B144" s="8" t="n"/>
      <c r="C144" s="8" t="n"/>
      <c r="D144" s="8" t="n"/>
      <c r="E144" s="8" t="n">
        <v>17</v>
      </c>
      <c r="F144" s="8" t="n">
        <v>0</v>
      </c>
      <c r="G144" s="12" t="n"/>
      <c r="H144" s="13" t="n"/>
      <c r="I144" s="14" t="n"/>
    </row>
    <row r="145">
      <c r="A145" s="7" t="n"/>
      <c r="B145" s="8" t="n"/>
      <c r="C145" s="8" t="n"/>
      <c r="D145" s="8" t="n"/>
      <c r="E145" s="8" t="n">
        <v>16</v>
      </c>
      <c r="F145" s="8" t="n">
        <v>0</v>
      </c>
      <c r="G145" s="12" t="n"/>
      <c r="H145" s="13" t="n"/>
      <c r="I145" s="14" t="n"/>
    </row>
    <row r="146">
      <c r="A146" s="7" t="n"/>
      <c r="B146" s="8" t="n"/>
      <c r="C146" s="8" t="n"/>
      <c r="D146" s="8" t="str">
        <f>DEC2HEX(128*F146+64*F147+32*F148+16*F149+8*F150+4*F151+2*F152+1*F153,2)&amp;"h"</f>
        <v>00h</v>
      </c>
      <c r="E146" s="8" t="n">
        <v>15</v>
      </c>
      <c r="F146" s="8" t="n">
        <v>0</v>
      </c>
      <c r="G146" s="12" t="n"/>
      <c r="H146" s="13" t="n"/>
      <c r="I146" s="14" t="n"/>
    </row>
    <row r="147">
      <c r="A147" s="7" t="n"/>
      <c r="B147" s="8" t="n"/>
      <c r="C147" s="8" t="n"/>
      <c r="D147" s="8" t="n"/>
      <c r="E147" s="8" t="n">
        <v>14</v>
      </c>
      <c r="F147" s="8" t="n">
        <v>0</v>
      </c>
      <c r="G147" s="12" t="n"/>
      <c r="H147" s="13" t="n"/>
      <c r="I147" s="14" t="n"/>
    </row>
    <row r="148">
      <c r="A148" s="7" t="n"/>
      <c r="B148" s="8" t="n"/>
      <c r="C148" s="8" t="n"/>
      <c r="D148" s="8" t="n"/>
      <c r="E148" s="8" t="n">
        <v>13</v>
      </c>
      <c r="F148" s="8" t="n">
        <v>0</v>
      </c>
      <c r="G148" s="12" t="n"/>
      <c r="H148" s="13" t="n"/>
      <c r="I148" s="14" t="n"/>
    </row>
    <row r="149">
      <c r="A149" s="7" t="n"/>
      <c r="B149" s="8" t="n"/>
      <c r="C149" s="8" t="n"/>
      <c r="D149" s="8" t="n"/>
      <c r="E149" s="8" t="n">
        <v>12</v>
      </c>
      <c r="F149" s="8" t="n">
        <v>0</v>
      </c>
      <c r="G149" s="12" t="n"/>
      <c r="H149" s="13" t="n"/>
      <c r="I149" s="14" t="n"/>
    </row>
    <row r="150">
      <c r="A150" s="7" t="n"/>
      <c r="B150" s="8" t="n"/>
      <c r="C150" s="8" t="n"/>
      <c r="D150" s="8" t="n"/>
      <c r="E150" s="8" t="n">
        <v>11</v>
      </c>
      <c r="F150" s="8" t="n">
        <v>0</v>
      </c>
      <c r="G150" s="12" t="n"/>
      <c r="H150" s="13" t="n"/>
      <c r="I150" s="14" t="n"/>
    </row>
    <row r="151">
      <c r="A151" s="7" t="n"/>
      <c r="B151" s="8" t="n"/>
      <c r="C151" s="8" t="n"/>
      <c r="D151" s="8" t="n"/>
      <c r="E151" s="8" t="n">
        <v>10</v>
      </c>
      <c r="F151" s="8" t="n">
        <v>0</v>
      </c>
      <c r="G151" s="12" t="n"/>
      <c r="H151" s="13" t="n"/>
      <c r="I151" s="14" t="n"/>
    </row>
    <row r="152">
      <c r="A152" s="7" t="n"/>
      <c r="B152" s="8" t="n"/>
      <c r="C152" s="8" t="n"/>
      <c r="D152" s="8" t="n"/>
      <c r="E152" s="8" t="n">
        <v>9</v>
      </c>
      <c r="F152" s="8" t="n">
        <v>0</v>
      </c>
      <c r="G152" s="12" t="n"/>
      <c r="H152" s="13" t="n"/>
      <c r="I152" s="14" t="n"/>
    </row>
    <row r="153">
      <c r="A153" s="7" t="n"/>
      <c r="B153" s="8" t="n"/>
      <c r="C153" s="8" t="n"/>
      <c r="D153" s="8" t="n"/>
      <c r="E153" s="8" t="n">
        <v>8</v>
      </c>
      <c r="F153" s="8" t="n">
        <v>0</v>
      </c>
      <c r="G153" s="12" t="n"/>
      <c r="H153" s="13" t="n"/>
      <c r="I153" s="14" t="n"/>
    </row>
    <row r="154">
      <c r="A154" s="7" t="n"/>
      <c r="B154" s="8" t="n"/>
      <c r="C154" s="8" t="n"/>
      <c r="D154" s="8" t="str">
        <f>DEC2HEX(128*F154+64*F155+32*F156+16*F157+8*F158+4*F159+2*F160+1*F161,2)&amp;"h"</f>
        <v>02h</v>
      </c>
      <c r="E154" s="8" t="n">
        <v>7</v>
      </c>
      <c r="F154" s="8" t="n">
        <v>0</v>
      </c>
      <c r="G154" s="12" t="n"/>
      <c r="H154" s="13" t="n"/>
      <c r="I154" s="14" t="n"/>
    </row>
    <row r="155">
      <c r="A155" s="7" t="n"/>
      <c r="B155" s="8" t="n"/>
      <c r="C155" s="8" t="n"/>
      <c r="D155" s="8" t="n"/>
      <c r="E155" s="8" t="n">
        <v>6</v>
      </c>
      <c r="F155" s="8" t="n">
        <v>0</v>
      </c>
      <c r="G155" s="12" t="n"/>
      <c r="H155" s="13" t="n"/>
      <c r="I155" s="14" t="n"/>
    </row>
    <row r="156">
      <c r="A156" s="7" t="n"/>
      <c r="B156" s="8" t="n"/>
      <c r="C156" s="8" t="n"/>
      <c r="D156" s="8" t="n"/>
      <c r="E156" s="8" t="n">
        <v>5</v>
      </c>
      <c r="F156" s="8" t="n">
        <v>0</v>
      </c>
      <c r="G156" s="12" t="n"/>
      <c r="H156" s="13" t="n"/>
      <c r="I156" s="14" t="n"/>
    </row>
    <row r="157">
      <c r="A157" s="7" t="n"/>
      <c r="B157" s="8" t="n"/>
      <c r="C157" s="8" t="n"/>
      <c r="D157" s="8" t="n"/>
      <c r="E157" s="8" t="n">
        <v>4</v>
      </c>
      <c r="F157" s="8" t="n">
        <v>0</v>
      </c>
      <c r="G157" s="12" t="n"/>
      <c r="H157" s="13" t="n"/>
      <c r="I157" s="14" t="n"/>
    </row>
    <row r="158">
      <c r="A158" s="7" t="n"/>
      <c r="B158" s="8" t="n"/>
      <c r="C158" s="8" t="n"/>
      <c r="D158" s="8" t="n"/>
      <c r="E158" s="8" t="n">
        <v>3</v>
      </c>
      <c r="F158" s="8" t="n">
        <v>0</v>
      </c>
      <c r="G158" s="12" t="n"/>
      <c r="H158" s="13" t="n"/>
      <c r="I158" s="14" t="n"/>
    </row>
    <row r="159">
      <c r="A159" s="7" t="n"/>
      <c r="B159" s="8" t="n"/>
      <c r="C159" s="8" t="n"/>
      <c r="D159" s="8" t="n"/>
      <c r="E159" s="8" t="n">
        <v>2</v>
      </c>
      <c r="F159" s="8" t="n">
        <v>0</v>
      </c>
      <c r="G159" s="12" t="n"/>
      <c r="H159" s="13" t="n"/>
      <c r="I159" s="14" t="n"/>
    </row>
    <row r="160">
      <c r="A160" s="7" t="n"/>
      <c r="B160" s="8" t="n"/>
      <c r="C160" s="8" t="n"/>
      <c r="D160" s="8" t="n"/>
      <c r="E160" s="8" t="n">
        <v>1</v>
      </c>
      <c r="F160" s="8" t="n">
        <v>1</v>
      </c>
      <c r="G160" s="12" t="n"/>
      <c r="H160" s="13" t="n"/>
      <c r="I160" s="14" t="n"/>
    </row>
    <row r="161">
      <c r="A161" s="15" t="n"/>
      <c r="B161" s="16" t="n"/>
      <c r="C161" s="16" t="n"/>
      <c r="D161" s="16" t="n"/>
      <c r="E161" s="16" t="n">
        <v>0</v>
      </c>
      <c r="F161" s="16" t="n">
        <v>0</v>
      </c>
      <c r="G161" s="17" t="n"/>
      <c r="H161" s="18" t="n"/>
      <c r="I161" s="19" t="n"/>
    </row>
    <row r="162">
      <c r="A162" s="20" t="inlineStr">
        <is>
          <t>SLICE_CTRL</t>
        </is>
      </c>
      <c r="B162" s="21" t="str">
        <f>DEC2HEX(20,4)&amp;"h"</f>
        <v>0014h</v>
      </c>
      <c r="C162" s="21" t="str">
        <f>LEFT(D162,2)&amp;LEFT(D170,2)&amp;LEFT(D178,2)&amp;LEFT(D186,2)&amp;"h"</f>
        <v>00000002h</v>
      </c>
      <c r="D162" s="21" t="str">
        <f>DEC2HEX(128*F162+64*F163+32*F164+16*F165+8*F166+4*F167+2*F168+1*F169,2)&amp;"h"</f>
        <v>00h</v>
      </c>
      <c r="E162" s="21" t="n">
        <v>31</v>
      </c>
      <c r="F162" s="21" t="n">
        <v>0</v>
      </c>
      <c r="G162" s="4" t="inlineStr">
        <is>
          <t>RESERVED</t>
        </is>
      </c>
      <c r="H162" s="5" t="inlineStr">
        <is>
          <t>RO</t>
        </is>
      </c>
      <c r="I162" s="6" t="inlineStr">
        <is>
          <t>Reserved; keep at reset value.</t>
        </is>
      </c>
    </row>
    <row r="163">
      <c r="A163" s="22" t="n"/>
      <c r="B163" s="23" t="n"/>
      <c r="C163" s="23" t="n"/>
      <c r="D163" s="23" t="n"/>
      <c r="E163" s="23" t="n">
        <v>30</v>
      </c>
      <c r="F163" s="23" t="n">
        <v>0</v>
      </c>
      <c r="G163" s="9" t="n"/>
      <c r="H163" s="10" t="n"/>
      <c r="I163" s="11" t="n"/>
    </row>
    <row r="164">
      <c r="A164" s="22" t="n"/>
      <c r="B164" s="23" t="n"/>
      <c r="C164" s="23" t="n"/>
      <c r="D164" s="23" t="n"/>
      <c r="E164" s="23" t="n">
        <v>29</v>
      </c>
      <c r="F164" s="23" t="n">
        <v>0</v>
      </c>
      <c r="G164" s="9" t="n"/>
      <c r="H164" s="10" t="n"/>
      <c r="I164" s="11" t="n"/>
    </row>
    <row r="165">
      <c r="A165" s="22" t="n"/>
      <c r="B165" s="23" t="n"/>
      <c r="C165" s="23" t="n"/>
      <c r="D165" s="23" t="n"/>
      <c r="E165" s="23" t="n">
        <v>28</v>
      </c>
      <c r="F165" s="23" t="n">
        <v>0</v>
      </c>
      <c r="G165" s="9" t="n"/>
      <c r="H165" s="10" t="n"/>
      <c r="I165" s="11" t="n"/>
    </row>
    <row r="166">
      <c r="A166" s="22" t="n"/>
      <c r="B166" s="23" t="n"/>
      <c r="C166" s="23" t="n"/>
      <c r="D166" s="23" t="n"/>
      <c r="E166" s="23" t="n">
        <v>27</v>
      </c>
      <c r="F166" s="23" t="n">
        <v>0</v>
      </c>
      <c r="G166" s="9" t="n"/>
      <c r="H166" s="10" t="n"/>
      <c r="I166" s="11" t="n"/>
    </row>
    <row r="167">
      <c r="A167" s="22" t="n"/>
      <c r="B167" s="23" t="n"/>
      <c r="C167" s="23" t="n"/>
      <c r="D167" s="23" t="n"/>
      <c r="E167" s="23" t="n">
        <v>26</v>
      </c>
      <c r="F167" s="23" t="n">
        <v>0</v>
      </c>
      <c r="G167" s="9" t="n"/>
      <c r="H167" s="10" t="n"/>
      <c r="I167" s="11" t="n"/>
    </row>
    <row r="168">
      <c r="A168" s="22" t="n"/>
      <c r="B168" s="23" t="n"/>
      <c r="C168" s="23" t="n"/>
      <c r="D168" s="23" t="n"/>
      <c r="E168" s="23" t="n">
        <v>25</v>
      </c>
      <c r="F168" s="23" t="n">
        <v>0</v>
      </c>
      <c r="G168" s="9" t="n"/>
      <c r="H168" s="10" t="n"/>
      <c r="I168" s="11" t="n"/>
    </row>
    <row r="169">
      <c r="A169" s="22" t="n"/>
      <c r="B169" s="23" t="n"/>
      <c r="C169" s="23" t="n"/>
      <c r="D169" s="23" t="n"/>
      <c r="E169" s="23" t="n">
        <v>24</v>
      </c>
      <c r="F169" s="23" t="n">
        <v>0</v>
      </c>
      <c r="G169" s="9" t="n"/>
      <c r="H169" s="10" t="n"/>
      <c r="I169" s="11" t="n"/>
    </row>
    <row r="170">
      <c r="A170" s="22" t="n"/>
      <c r="B170" s="23" t="n"/>
      <c r="C170" s="23" t="n"/>
      <c r="D170" s="23" t="str">
        <f>DEC2HEX(128*F170+64*F171+32*F172+16*F173+8*F174+4*F175+2*F176+1*F177,2)&amp;"h"</f>
        <v>00h</v>
      </c>
      <c r="E170" s="23" t="n">
        <v>23</v>
      </c>
      <c r="F170" s="23" t="n">
        <v>0</v>
      </c>
      <c r="G170" s="9" t="n"/>
      <c r="H170" s="10" t="n"/>
      <c r="I170" s="11" t="n"/>
    </row>
    <row r="171">
      <c r="A171" s="22" t="n"/>
      <c r="B171" s="23" t="n"/>
      <c r="C171" s="23" t="n"/>
      <c r="D171" s="23" t="n"/>
      <c r="E171" s="23" t="n">
        <v>22</v>
      </c>
      <c r="F171" s="23" t="n">
        <v>0</v>
      </c>
      <c r="G171" s="9" t="n"/>
      <c r="H171" s="10" t="n"/>
      <c r="I171" s="11" t="n"/>
    </row>
    <row r="172">
      <c r="A172" s="22" t="n"/>
      <c r="B172" s="23" t="n"/>
      <c r="C172" s="23" t="n"/>
      <c r="D172" s="23" t="n"/>
      <c r="E172" s="23" t="n">
        <v>21</v>
      </c>
      <c r="F172" s="23" t="n">
        <v>0</v>
      </c>
      <c r="G172" s="9" t="n"/>
      <c r="H172" s="10" t="n"/>
      <c r="I172" s="11" t="n"/>
    </row>
    <row r="173">
      <c r="A173" s="22" t="n"/>
      <c r="B173" s="23" t="n"/>
      <c r="C173" s="23" t="n"/>
      <c r="D173" s="23" t="n"/>
      <c r="E173" s="23" t="n">
        <v>20</v>
      </c>
      <c r="F173" s="23" t="n">
        <v>0</v>
      </c>
      <c r="G173" s="9" t="n"/>
      <c r="H173" s="10" t="n"/>
      <c r="I173" s="11" t="n"/>
    </row>
    <row r="174">
      <c r="A174" s="22" t="n"/>
      <c r="B174" s="23" t="n"/>
      <c r="C174" s="23" t="n"/>
      <c r="D174" s="23" t="n"/>
      <c r="E174" s="23" t="n">
        <v>19</v>
      </c>
      <c r="F174" s="23" t="n">
        <v>0</v>
      </c>
      <c r="G174" s="9" t="n"/>
      <c r="H174" s="10" t="n"/>
      <c r="I174" s="11" t="n"/>
    </row>
    <row r="175">
      <c r="A175" s="22" t="n"/>
      <c r="B175" s="23" t="n"/>
      <c r="C175" s="23" t="n"/>
      <c r="D175" s="23" t="n"/>
      <c r="E175" s="23" t="n">
        <v>18</v>
      </c>
      <c r="F175" s="23" t="n">
        <v>0</v>
      </c>
      <c r="G175" s="9" t="n"/>
      <c r="H175" s="10" t="n"/>
      <c r="I175" s="11" t="n"/>
    </row>
    <row r="176">
      <c r="A176" s="22" t="n"/>
      <c r="B176" s="23" t="n"/>
      <c r="C176" s="23" t="n"/>
      <c r="D176" s="23" t="n"/>
      <c r="E176" s="23" t="n">
        <v>17</v>
      </c>
      <c r="F176" s="23" t="n">
        <v>0</v>
      </c>
      <c r="G176" s="9" t="n"/>
      <c r="H176" s="10" t="n"/>
      <c r="I176" s="11" t="n"/>
    </row>
    <row r="177">
      <c r="A177" s="22" t="n"/>
      <c r="B177" s="23" t="n"/>
      <c r="C177" s="23" t="n"/>
      <c r="D177" s="23" t="n"/>
      <c r="E177" s="23" t="n">
        <v>16</v>
      </c>
      <c r="F177" s="23" t="n">
        <v>0</v>
      </c>
      <c r="G177" s="9" t="n"/>
      <c r="H177" s="10" t="n"/>
      <c r="I177" s="11" t="n"/>
    </row>
    <row r="178">
      <c r="A178" s="22" t="n"/>
      <c r="B178" s="23" t="n"/>
      <c r="C178" s="23" t="n"/>
      <c r="D178" s="23" t="str">
        <f>DEC2HEX(128*F178+64*F179+32*F180+16*F181+8*F182+4*F183+2*F184+1*F185,2)&amp;"h"</f>
        <v>00h</v>
      </c>
      <c r="E178" s="23" t="n">
        <v>15</v>
      </c>
      <c r="F178" s="23" t="n">
        <v>0</v>
      </c>
      <c r="G178" s="9" t="n"/>
      <c r="H178" s="10" t="n"/>
      <c r="I178" s="11" t="n"/>
    </row>
    <row r="179">
      <c r="A179" s="22" t="n"/>
      <c r="B179" s="23" t="n"/>
      <c r="C179" s="23" t="n"/>
      <c r="D179" s="23" t="n"/>
      <c r="E179" s="23" t="n">
        <v>14</v>
      </c>
      <c r="F179" s="23" t="n">
        <v>0</v>
      </c>
      <c r="G179" s="9" t="n"/>
      <c r="H179" s="10" t="n"/>
      <c r="I179" s="11" t="n"/>
    </row>
    <row r="180">
      <c r="A180" s="22" t="n"/>
      <c r="B180" s="23" t="n"/>
      <c r="C180" s="23" t="n"/>
      <c r="D180" s="23" t="n"/>
      <c r="E180" s="23" t="n">
        <v>13</v>
      </c>
      <c r="F180" s="23" t="n">
        <v>0</v>
      </c>
      <c r="G180" s="9" t="n"/>
      <c r="H180" s="10" t="n"/>
      <c r="I180" s="11" t="n"/>
    </row>
    <row r="181">
      <c r="A181" s="22" t="n"/>
      <c r="B181" s="23" t="n"/>
      <c r="C181" s="23" t="n"/>
      <c r="D181" s="23" t="n"/>
      <c r="E181" s="23" t="n">
        <v>12</v>
      </c>
      <c r="F181" s="23" t="n">
        <v>0</v>
      </c>
      <c r="G181" s="9" t="n"/>
      <c r="H181" s="10" t="n"/>
      <c r="I181" s="11" t="n"/>
    </row>
    <row r="182">
      <c r="A182" s="22" t="n"/>
      <c r="B182" s="23" t="n"/>
      <c r="C182" s="23" t="n"/>
      <c r="D182" s="23" t="n"/>
      <c r="E182" s="23" t="n">
        <v>11</v>
      </c>
      <c r="F182" s="23" t="n">
        <v>0</v>
      </c>
      <c r="G182" s="9" t="n"/>
      <c r="H182" s="10" t="n"/>
      <c r="I182" s="11" t="n"/>
    </row>
    <row r="183">
      <c r="A183" s="22" t="n"/>
      <c r="B183" s="23" t="n"/>
      <c r="C183" s="23" t="n"/>
      <c r="D183" s="23" t="n"/>
      <c r="E183" s="23" t="n">
        <v>10</v>
      </c>
      <c r="F183" s="23" t="n">
        <v>0</v>
      </c>
      <c r="G183" s="9" t="n"/>
      <c r="H183" s="10" t="n"/>
      <c r="I183" s="11" t="n"/>
    </row>
    <row r="184">
      <c r="A184" s="22" t="n"/>
      <c r="B184" s="23" t="n"/>
      <c r="C184" s="23" t="n"/>
      <c r="D184" s="23" t="n"/>
      <c r="E184" s="23" t="n">
        <v>9</v>
      </c>
      <c r="F184" s="23" t="n">
        <v>0</v>
      </c>
      <c r="G184" s="9" t="n"/>
      <c r="H184" s="10" t="n"/>
      <c r="I184" s="11" t="n"/>
    </row>
    <row r="185">
      <c r="A185" s="22" t="n"/>
      <c r="B185" s="23" t="n"/>
      <c r="C185" s="23" t="n"/>
      <c r="D185" s="23" t="n"/>
      <c r="E185" s="23" t="n">
        <v>8</v>
      </c>
      <c r="F185" s="23" t="n">
        <v>0</v>
      </c>
      <c r="G185" s="12" t="inlineStr">
        <is>
          <t>slice_mode_en</t>
        </is>
      </c>
      <c r="H185" s="13" t="inlineStr">
        <is>
          <t>RW</t>
        </is>
      </c>
      <c r="I185" s="14" t="inlineStr">
        <is>
          <t>是否启用 slice 模式</t>
        </is>
      </c>
    </row>
    <row r="186">
      <c r="A186" s="22" t="n"/>
      <c r="B186" s="23" t="n"/>
      <c r="C186" s="23" t="n"/>
      <c r="D186" s="23" t="str">
        <f>DEC2HEX(128*F186+64*F187+32*F188+16*F189+8*F190+4*F191+2*F192+1*F193,2)&amp;"h"</f>
        <v>02h</v>
      </c>
      <c r="E186" s="23" t="n">
        <v>7</v>
      </c>
      <c r="F186" s="23" t="n">
        <v>0</v>
      </c>
      <c r="G186" s="12" t="inlineStr">
        <is>
          <t>slices_per_sample</t>
        </is>
      </c>
      <c r="H186" s="13" t="inlineStr">
        <is>
          <t>RW</t>
        </is>
      </c>
      <c r="I186" s="14" t="inlineStr">
        <is>
          <t>一个 sample 内的 slice 数
配置值为实际值减一
slices_per_sample % 2 == 0</t>
        </is>
      </c>
    </row>
    <row r="187">
      <c r="A187" s="22" t="n"/>
      <c r="B187" s="23" t="n"/>
      <c r="C187" s="23" t="n"/>
      <c r="D187" s="23" t="n"/>
      <c r="E187" s="23" t="n">
        <v>6</v>
      </c>
      <c r="F187" s="23" t="n">
        <v>0</v>
      </c>
      <c r="G187" s="12" t="n"/>
      <c r="H187" s="13" t="n"/>
      <c r="I187" s="14" t="n"/>
    </row>
    <row r="188">
      <c r="A188" s="22" t="n"/>
      <c r="B188" s="23" t="n"/>
      <c r="C188" s="23" t="n"/>
      <c r="D188" s="23" t="n"/>
      <c r="E188" s="23" t="n">
        <v>5</v>
      </c>
      <c r="F188" s="23" t="n">
        <v>0</v>
      </c>
      <c r="G188" s="12" t="n"/>
      <c r="H188" s="13" t="n"/>
      <c r="I188" s="14" t="n"/>
    </row>
    <row r="189">
      <c r="A189" s="22" t="n"/>
      <c r="B189" s="23" t="n"/>
      <c r="C189" s="23" t="n"/>
      <c r="D189" s="23" t="n"/>
      <c r="E189" s="23" t="n">
        <v>4</v>
      </c>
      <c r="F189" s="23" t="n">
        <v>0</v>
      </c>
      <c r="G189" s="12" t="n"/>
      <c r="H189" s="13" t="n"/>
      <c r="I189" s="14" t="n"/>
    </row>
    <row r="190">
      <c r="A190" s="22" t="n"/>
      <c r="B190" s="23" t="n"/>
      <c r="C190" s="23" t="n"/>
      <c r="D190" s="23" t="n"/>
      <c r="E190" s="23" t="n">
        <v>3</v>
      </c>
      <c r="F190" s="23" t="n">
        <v>0</v>
      </c>
      <c r="G190" s="12" t="n"/>
      <c r="H190" s="13" t="n"/>
      <c r="I190" s="14" t="n"/>
    </row>
    <row r="191">
      <c r="A191" s="22" t="n"/>
      <c r="B191" s="23" t="n"/>
      <c r="C191" s="23" t="n"/>
      <c r="D191" s="23" t="n"/>
      <c r="E191" s="23" t="n">
        <v>2</v>
      </c>
      <c r="F191" s="23" t="n">
        <v>0</v>
      </c>
      <c r="G191" s="12" t="n"/>
      <c r="H191" s="13" t="n"/>
      <c r="I191" s="14" t="n"/>
    </row>
    <row r="192">
      <c r="A192" s="22" t="n"/>
      <c r="B192" s="23" t="n"/>
      <c r="C192" s="23" t="n"/>
      <c r="D192" s="23" t="n"/>
      <c r="E192" s="23" t="n">
        <v>1</v>
      </c>
      <c r="F192" s="23" t="n">
        <v>1</v>
      </c>
      <c r="G192" s="12" t="n"/>
      <c r="H192" s="13" t="n"/>
      <c r="I192" s="14" t="n"/>
    </row>
    <row r="193">
      <c r="A193" s="24" t="n"/>
      <c r="B193" s="25" t="n"/>
      <c r="C193" s="25" t="n"/>
      <c r="D193" s="25" t="n"/>
      <c r="E193" s="25" t="n">
        <v>0</v>
      </c>
      <c r="F193" s="25" t="n">
        <v>0</v>
      </c>
      <c r="G193" s="17" t="n"/>
      <c r="H193" s="18" t="n"/>
      <c r="I193" s="19" t="n"/>
    </row>
    <row r="194">
      <c r="A194" s="2" t="inlineStr">
        <is>
          <t>ACCUMULATOR_BATCHES</t>
        </is>
      </c>
      <c r="B194" s="3" t="str">
        <f>DEC2HEX(24,4)&amp;"h"</f>
        <v>0018h</v>
      </c>
      <c r="C194" s="3" t="str">
        <f>LEFT(D194,2)&amp;LEFT(D202,2)&amp;LEFT(D210,2)&amp;LEFT(D218,2)&amp;"h"</f>
        <v>00000002h</v>
      </c>
      <c r="D194" s="3" t="str">
        <f>DEC2HEX(128*F194+64*F195+32*F196+16*F197+8*F198+4*F199+2*F200+1*F201,2)&amp;"h"</f>
        <v>00h</v>
      </c>
      <c r="E194" s="3" t="n">
        <v>31</v>
      </c>
      <c r="F194" s="3" t="n">
        <v>0</v>
      </c>
      <c r="G194" s="4" t="inlineStr">
        <is>
          <t>RESERVED</t>
        </is>
      </c>
      <c r="H194" s="5" t="inlineStr">
        <is>
          <t>RO</t>
        </is>
      </c>
      <c r="I194" s="6" t="inlineStr">
        <is>
          <t>Reserved; keep at reset value.</t>
        </is>
      </c>
    </row>
    <row r="195">
      <c r="A195" s="7" t="n"/>
      <c r="B195" s="8" t="n"/>
      <c r="C195" s="8" t="n"/>
      <c r="D195" s="8" t="n"/>
      <c r="E195" s="8" t="n">
        <v>30</v>
      </c>
      <c r="F195" s="8" t="n">
        <v>0</v>
      </c>
      <c r="G195" s="9" t="n"/>
      <c r="H195" s="10" t="n"/>
      <c r="I195" s="11" t="n"/>
    </row>
    <row r="196">
      <c r="A196" s="7" t="n"/>
      <c r="B196" s="8" t="n"/>
      <c r="C196" s="8" t="n"/>
      <c r="D196" s="8" t="n"/>
      <c r="E196" s="8" t="n">
        <v>29</v>
      </c>
      <c r="F196" s="8" t="n">
        <v>0</v>
      </c>
      <c r="G196" s="9" t="n"/>
      <c r="H196" s="10" t="n"/>
      <c r="I196" s="11" t="n"/>
    </row>
    <row r="197">
      <c r="A197" s="7" t="n"/>
      <c r="B197" s="8" t="n"/>
      <c r="C197" s="8" t="n"/>
      <c r="D197" s="8" t="n"/>
      <c r="E197" s="8" t="n">
        <v>28</v>
      </c>
      <c r="F197" s="8" t="n">
        <v>0</v>
      </c>
      <c r="G197" s="9" t="n"/>
      <c r="H197" s="10" t="n"/>
      <c r="I197" s="11" t="n"/>
    </row>
    <row r="198">
      <c r="A198" s="7" t="n"/>
      <c r="B198" s="8" t="n"/>
      <c r="C198" s="8" t="n"/>
      <c r="D198" s="8" t="n"/>
      <c r="E198" s="8" t="n">
        <v>27</v>
      </c>
      <c r="F198" s="8" t="n">
        <v>0</v>
      </c>
      <c r="G198" s="9" t="n"/>
      <c r="H198" s="10" t="n"/>
      <c r="I198" s="11" t="n"/>
    </row>
    <row r="199">
      <c r="A199" s="7" t="n"/>
      <c r="B199" s="8" t="n"/>
      <c r="C199" s="8" t="n"/>
      <c r="D199" s="8" t="n"/>
      <c r="E199" s="8" t="n">
        <v>26</v>
      </c>
      <c r="F199" s="8" t="n">
        <v>0</v>
      </c>
      <c r="G199" s="9" t="n"/>
      <c r="H199" s="10" t="n"/>
      <c r="I199" s="11" t="n"/>
    </row>
    <row r="200">
      <c r="A200" s="7" t="n"/>
      <c r="B200" s="8" t="n"/>
      <c r="C200" s="8" t="n"/>
      <c r="D200" s="8" t="n"/>
      <c r="E200" s="8" t="n">
        <v>25</v>
      </c>
      <c r="F200" s="8" t="n">
        <v>0</v>
      </c>
      <c r="G200" s="9" t="n"/>
      <c r="H200" s="10" t="n"/>
      <c r="I200" s="11" t="n"/>
    </row>
    <row r="201">
      <c r="A201" s="7" t="n"/>
      <c r="B201" s="8" t="n"/>
      <c r="C201" s="8" t="n"/>
      <c r="D201" s="8" t="n"/>
      <c r="E201" s="8" t="n">
        <v>24</v>
      </c>
      <c r="F201" s="8" t="n">
        <v>0</v>
      </c>
      <c r="G201" s="9" t="n"/>
      <c r="H201" s="10" t="n"/>
      <c r="I201" s="11" t="n"/>
    </row>
    <row r="202">
      <c r="A202" s="7" t="n"/>
      <c r="B202" s="8" t="n"/>
      <c r="C202" s="8" t="n"/>
      <c r="D202" s="8" t="str">
        <f>DEC2HEX(128*F202+64*F203+32*F204+16*F205+8*F206+4*F207+2*F208+1*F209,2)&amp;"h"</f>
        <v>00h</v>
      </c>
      <c r="E202" s="8" t="n">
        <v>23</v>
      </c>
      <c r="F202" s="8" t="n">
        <v>0</v>
      </c>
      <c r="G202" s="12" t="inlineStr">
        <is>
          <t>accumulator_batches</t>
        </is>
      </c>
      <c r="H202" s="13" t="inlineStr">
        <is>
          <t>RW</t>
        </is>
      </c>
      <c r="I202" s="14" t="inlineStr">
        <is>
          <t>一次累加的 batch 数
配置值为实际值减一</t>
        </is>
      </c>
    </row>
    <row r="203">
      <c r="A203" s="7" t="n"/>
      <c r="B203" s="8" t="n"/>
      <c r="C203" s="8" t="n"/>
      <c r="D203" s="8" t="n"/>
      <c r="E203" s="8" t="n">
        <v>22</v>
      </c>
      <c r="F203" s="8" t="n">
        <v>0</v>
      </c>
      <c r="G203" s="12" t="n"/>
      <c r="H203" s="13" t="n"/>
      <c r="I203" s="14" t="n"/>
    </row>
    <row r="204">
      <c r="A204" s="7" t="n"/>
      <c r="B204" s="8" t="n"/>
      <c r="C204" s="8" t="n"/>
      <c r="D204" s="8" t="n"/>
      <c r="E204" s="8" t="n">
        <v>21</v>
      </c>
      <c r="F204" s="8" t="n">
        <v>0</v>
      </c>
      <c r="G204" s="12" t="n"/>
      <c r="H204" s="13" t="n"/>
      <c r="I204" s="14" t="n"/>
    </row>
    <row r="205">
      <c r="A205" s="7" t="n"/>
      <c r="B205" s="8" t="n"/>
      <c r="C205" s="8" t="n"/>
      <c r="D205" s="8" t="n"/>
      <c r="E205" s="8" t="n">
        <v>20</v>
      </c>
      <c r="F205" s="8" t="n">
        <v>0</v>
      </c>
      <c r="G205" s="12" t="n"/>
      <c r="H205" s="13" t="n"/>
      <c r="I205" s="14" t="n"/>
    </row>
    <row r="206">
      <c r="A206" s="7" t="n"/>
      <c r="B206" s="8" t="n"/>
      <c r="C206" s="8" t="n"/>
      <c r="D206" s="8" t="n"/>
      <c r="E206" s="8" t="n">
        <v>19</v>
      </c>
      <c r="F206" s="8" t="n">
        <v>0</v>
      </c>
      <c r="G206" s="12" t="n"/>
      <c r="H206" s="13" t="n"/>
      <c r="I206" s="14" t="n"/>
    </row>
    <row r="207">
      <c r="A207" s="7" t="n"/>
      <c r="B207" s="8" t="n"/>
      <c r="C207" s="8" t="n"/>
      <c r="D207" s="8" t="n"/>
      <c r="E207" s="8" t="n">
        <v>18</v>
      </c>
      <c r="F207" s="8" t="n">
        <v>0</v>
      </c>
      <c r="G207" s="12" t="n"/>
      <c r="H207" s="13" t="n"/>
      <c r="I207" s="14" t="n"/>
    </row>
    <row r="208">
      <c r="A208" s="7" t="n"/>
      <c r="B208" s="8" t="n"/>
      <c r="C208" s="8" t="n"/>
      <c r="D208" s="8" t="n"/>
      <c r="E208" s="8" t="n">
        <v>17</v>
      </c>
      <c r="F208" s="8" t="n">
        <v>0</v>
      </c>
      <c r="G208" s="12" t="n"/>
      <c r="H208" s="13" t="n"/>
      <c r="I208" s="14" t="n"/>
    </row>
    <row r="209">
      <c r="A209" s="7" t="n"/>
      <c r="B209" s="8" t="n"/>
      <c r="C209" s="8" t="n"/>
      <c r="D209" s="8" t="n"/>
      <c r="E209" s="8" t="n">
        <v>16</v>
      </c>
      <c r="F209" s="8" t="n">
        <v>0</v>
      </c>
      <c r="G209" s="12" t="n"/>
      <c r="H209" s="13" t="n"/>
      <c r="I209" s="14" t="n"/>
    </row>
    <row r="210">
      <c r="A210" s="7" t="n"/>
      <c r="B210" s="8" t="n"/>
      <c r="C210" s="8" t="n"/>
      <c r="D210" s="8" t="str">
        <f>DEC2HEX(128*F210+64*F211+32*F212+16*F213+8*F214+4*F215+2*F216+1*F217,2)&amp;"h"</f>
        <v>00h</v>
      </c>
      <c r="E210" s="8" t="n">
        <v>15</v>
      </c>
      <c r="F210" s="8" t="n">
        <v>0</v>
      </c>
      <c r="G210" s="12" t="n"/>
      <c r="H210" s="13" t="n"/>
      <c r="I210" s="14" t="n"/>
    </row>
    <row r="211">
      <c r="A211" s="7" t="n"/>
      <c r="B211" s="8" t="n"/>
      <c r="C211" s="8" t="n"/>
      <c r="D211" s="8" t="n"/>
      <c r="E211" s="8" t="n">
        <v>14</v>
      </c>
      <c r="F211" s="8" t="n">
        <v>0</v>
      </c>
      <c r="G211" s="12" t="n"/>
      <c r="H211" s="13" t="n"/>
      <c r="I211" s="14" t="n"/>
    </row>
    <row r="212">
      <c r="A212" s="7" t="n"/>
      <c r="B212" s="8" t="n"/>
      <c r="C212" s="8" t="n"/>
      <c r="D212" s="8" t="n"/>
      <c r="E212" s="8" t="n">
        <v>13</v>
      </c>
      <c r="F212" s="8" t="n">
        <v>0</v>
      </c>
      <c r="G212" s="12" t="n"/>
      <c r="H212" s="13" t="n"/>
      <c r="I212" s="14" t="n"/>
    </row>
    <row r="213">
      <c r="A213" s="7" t="n"/>
      <c r="B213" s="8" t="n"/>
      <c r="C213" s="8" t="n"/>
      <c r="D213" s="8" t="n"/>
      <c r="E213" s="8" t="n">
        <v>12</v>
      </c>
      <c r="F213" s="8" t="n">
        <v>0</v>
      </c>
      <c r="G213" s="12" t="n"/>
      <c r="H213" s="13" t="n"/>
      <c r="I213" s="14" t="n"/>
    </row>
    <row r="214">
      <c r="A214" s="7" t="n"/>
      <c r="B214" s="8" t="n"/>
      <c r="C214" s="8" t="n"/>
      <c r="D214" s="8" t="n"/>
      <c r="E214" s="8" t="n">
        <v>11</v>
      </c>
      <c r="F214" s="8" t="n">
        <v>0</v>
      </c>
      <c r="G214" s="12" t="n"/>
      <c r="H214" s="13" t="n"/>
      <c r="I214" s="14" t="n"/>
    </row>
    <row r="215">
      <c r="A215" s="7" t="n"/>
      <c r="B215" s="8" t="n"/>
      <c r="C215" s="8" t="n"/>
      <c r="D215" s="8" t="n"/>
      <c r="E215" s="8" t="n">
        <v>10</v>
      </c>
      <c r="F215" s="8" t="n">
        <v>0</v>
      </c>
      <c r="G215" s="12" t="n"/>
      <c r="H215" s="13" t="n"/>
      <c r="I215" s="14" t="n"/>
    </row>
    <row r="216">
      <c r="A216" s="7" t="n"/>
      <c r="B216" s="8" t="n"/>
      <c r="C216" s="8" t="n"/>
      <c r="D216" s="8" t="n"/>
      <c r="E216" s="8" t="n">
        <v>9</v>
      </c>
      <c r="F216" s="8" t="n">
        <v>0</v>
      </c>
      <c r="G216" s="12" t="n"/>
      <c r="H216" s="13" t="n"/>
      <c r="I216" s="14" t="n"/>
    </row>
    <row r="217">
      <c r="A217" s="7" t="n"/>
      <c r="B217" s="8" t="n"/>
      <c r="C217" s="8" t="n"/>
      <c r="D217" s="8" t="n"/>
      <c r="E217" s="8" t="n">
        <v>8</v>
      </c>
      <c r="F217" s="8" t="n">
        <v>0</v>
      </c>
      <c r="G217" s="12" t="n"/>
      <c r="H217" s="13" t="n"/>
      <c r="I217" s="14" t="n"/>
    </row>
    <row r="218">
      <c r="A218" s="7" t="n"/>
      <c r="B218" s="8" t="n"/>
      <c r="C218" s="8" t="n"/>
      <c r="D218" s="8" t="str">
        <f>DEC2HEX(128*F218+64*F219+32*F220+16*F221+8*F222+4*F223+2*F224+1*F225,2)&amp;"h"</f>
        <v>02h</v>
      </c>
      <c r="E218" s="8" t="n">
        <v>7</v>
      </c>
      <c r="F218" s="8" t="n">
        <v>0</v>
      </c>
      <c r="G218" s="12" t="n"/>
      <c r="H218" s="13" t="n"/>
      <c r="I218" s="14" t="n"/>
    </row>
    <row r="219">
      <c r="A219" s="7" t="n"/>
      <c r="B219" s="8" t="n"/>
      <c r="C219" s="8" t="n"/>
      <c r="D219" s="8" t="n"/>
      <c r="E219" s="8" t="n">
        <v>6</v>
      </c>
      <c r="F219" s="8" t="n">
        <v>0</v>
      </c>
      <c r="G219" s="12" t="n"/>
      <c r="H219" s="13" t="n"/>
      <c r="I219" s="14" t="n"/>
    </row>
    <row r="220">
      <c r="A220" s="7" t="n"/>
      <c r="B220" s="8" t="n"/>
      <c r="C220" s="8" t="n"/>
      <c r="D220" s="8" t="n"/>
      <c r="E220" s="8" t="n">
        <v>5</v>
      </c>
      <c r="F220" s="8" t="n">
        <v>0</v>
      </c>
      <c r="G220" s="12" t="n"/>
      <c r="H220" s="13" t="n"/>
      <c r="I220" s="14" t="n"/>
    </row>
    <row r="221">
      <c r="A221" s="7" t="n"/>
      <c r="B221" s="8" t="n"/>
      <c r="C221" s="8" t="n"/>
      <c r="D221" s="8" t="n"/>
      <c r="E221" s="8" t="n">
        <v>4</v>
      </c>
      <c r="F221" s="8" t="n">
        <v>0</v>
      </c>
      <c r="G221" s="12" t="n"/>
      <c r="H221" s="13" t="n"/>
      <c r="I221" s="14" t="n"/>
    </row>
    <row r="222">
      <c r="A222" s="7" t="n"/>
      <c r="B222" s="8" t="n"/>
      <c r="C222" s="8" t="n"/>
      <c r="D222" s="8" t="n"/>
      <c r="E222" s="8" t="n">
        <v>3</v>
      </c>
      <c r="F222" s="8" t="n">
        <v>0</v>
      </c>
      <c r="G222" s="12" t="n"/>
      <c r="H222" s="13" t="n"/>
      <c r="I222" s="14" t="n"/>
    </row>
    <row r="223">
      <c r="A223" s="7" t="n"/>
      <c r="B223" s="8" t="n"/>
      <c r="C223" s="8" t="n"/>
      <c r="D223" s="8" t="n"/>
      <c r="E223" s="8" t="n">
        <v>2</v>
      </c>
      <c r="F223" s="8" t="n">
        <v>0</v>
      </c>
      <c r="G223" s="12" t="n"/>
      <c r="H223" s="13" t="n"/>
      <c r="I223" s="14" t="n"/>
    </row>
    <row r="224">
      <c r="A224" s="7" t="n"/>
      <c r="B224" s="8" t="n"/>
      <c r="C224" s="8" t="n"/>
      <c r="D224" s="8" t="n"/>
      <c r="E224" s="8" t="n">
        <v>1</v>
      </c>
      <c r="F224" s="8" t="n">
        <v>1</v>
      </c>
      <c r="G224" s="12" t="n"/>
      <c r="H224" s="13" t="n"/>
      <c r="I224" s="14" t="n"/>
    </row>
    <row r="225">
      <c r="A225" s="15" t="n"/>
      <c r="B225" s="16" t="n"/>
      <c r="C225" s="16" t="n"/>
      <c r="D225" s="16" t="n"/>
      <c r="E225" s="16" t="n">
        <v>0</v>
      </c>
      <c r="F225" s="16" t="n">
        <v>0</v>
      </c>
      <c r="G225" s="17" t="n"/>
      <c r="H225" s="18" t="n"/>
      <c r="I225" s="19" t="n"/>
    </row>
    <row r="226">
      <c r="A226" s="20" t="inlineStr">
        <is>
          <t>TRIGGER_DELAY</t>
        </is>
      </c>
      <c r="B226" s="21" t="str">
        <f>DEC2HEX(28,4)&amp;"h"</f>
        <v>001Ch</v>
      </c>
      <c r="C226" s="21" t="str">
        <f>LEFT(D226,2)&amp;LEFT(D234,2)&amp;LEFT(D242,2)&amp;LEFT(D250,2)&amp;"h"</f>
        <v>00000002h</v>
      </c>
      <c r="D226" s="21" t="str">
        <f>DEC2HEX(128*F226+64*F227+32*F228+16*F229+8*F230+4*F231+2*F232+1*F233,2)&amp;"h"</f>
        <v>00h</v>
      </c>
      <c r="E226" s="21" t="n">
        <v>31</v>
      </c>
      <c r="F226" s="21" t="n">
        <v>0</v>
      </c>
      <c r="G226" s="4" t="inlineStr">
        <is>
          <t>RESERVED</t>
        </is>
      </c>
      <c r="H226" s="5" t="inlineStr">
        <is>
          <t>RO</t>
        </is>
      </c>
      <c r="I226" s="6" t="inlineStr">
        <is>
          <t>Reserved; keep at reset value.</t>
        </is>
      </c>
    </row>
    <row r="227">
      <c r="A227" s="22" t="n"/>
      <c r="B227" s="23" t="n"/>
      <c r="C227" s="23" t="n"/>
      <c r="D227" s="23" t="n"/>
      <c r="E227" s="23" t="n">
        <v>30</v>
      </c>
      <c r="F227" s="23" t="n">
        <v>0</v>
      </c>
      <c r="G227" s="9" t="n"/>
      <c r="H227" s="10" t="n"/>
      <c r="I227" s="11" t="n"/>
    </row>
    <row r="228">
      <c r="A228" s="22" t="n"/>
      <c r="B228" s="23" t="n"/>
      <c r="C228" s="23" t="n"/>
      <c r="D228" s="23" t="n"/>
      <c r="E228" s="23" t="n">
        <v>29</v>
      </c>
      <c r="F228" s="23" t="n">
        <v>0</v>
      </c>
      <c r="G228" s="9" t="n"/>
      <c r="H228" s="10" t="n"/>
      <c r="I228" s="11" t="n"/>
    </row>
    <row r="229">
      <c r="A229" s="22" t="n"/>
      <c r="B229" s="23" t="n"/>
      <c r="C229" s="23" t="n"/>
      <c r="D229" s="23" t="n"/>
      <c r="E229" s="23" t="n">
        <v>28</v>
      </c>
      <c r="F229" s="23" t="n">
        <v>0</v>
      </c>
      <c r="G229" s="9" t="n"/>
      <c r="H229" s="10" t="n"/>
      <c r="I229" s="11" t="n"/>
    </row>
    <row r="230">
      <c r="A230" s="22" t="n"/>
      <c r="B230" s="23" t="n"/>
      <c r="C230" s="23" t="n"/>
      <c r="D230" s="23" t="n"/>
      <c r="E230" s="23" t="n">
        <v>27</v>
      </c>
      <c r="F230" s="23" t="n">
        <v>0</v>
      </c>
      <c r="G230" s="9" t="n"/>
      <c r="H230" s="10" t="n"/>
      <c r="I230" s="11" t="n"/>
    </row>
    <row r="231">
      <c r="A231" s="22" t="n"/>
      <c r="B231" s="23" t="n"/>
      <c r="C231" s="23" t="n"/>
      <c r="D231" s="23" t="n"/>
      <c r="E231" s="23" t="n">
        <v>26</v>
      </c>
      <c r="F231" s="23" t="n">
        <v>0</v>
      </c>
      <c r="G231" s="9" t="n"/>
      <c r="H231" s="10" t="n"/>
      <c r="I231" s="11" t="n"/>
    </row>
    <row r="232">
      <c r="A232" s="22" t="n"/>
      <c r="B232" s="23" t="n"/>
      <c r="C232" s="23" t="n"/>
      <c r="D232" s="23" t="n"/>
      <c r="E232" s="23" t="n">
        <v>25</v>
      </c>
      <c r="F232" s="23" t="n">
        <v>0</v>
      </c>
      <c r="G232" s="9" t="n"/>
      <c r="H232" s="10" t="n"/>
      <c r="I232" s="11" t="n"/>
    </row>
    <row r="233">
      <c r="A233" s="22" t="n"/>
      <c r="B233" s="23" t="n"/>
      <c r="C233" s="23" t="n"/>
      <c r="D233" s="23" t="n"/>
      <c r="E233" s="23" t="n">
        <v>24</v>
      </c>
      <c r="F233" s="23" t="n">
        <v>0</v>
      </c>
      <c r="G233" s="9" t="n"/>
      <c r="H233" s="10" t="n"/>
      <c r="I233" s="11" t="n"/>
    </row>
    <row r="234">
      <c r="A234" s="22" t="n"/>
      <c r="B234" s="23" t="n"/>
      <c r="C234" s="23" t="n"/>
      <c r="D234" s="23" t="str">
        <f>DEC2HEX(128*F234+64*F235+32*F236+16*F237+8*F238+4*F239+2*F240+1*F241,2)&amp;"h"</f>
        <v>00h</v>
      </c>
      <c r="E234" s="23" t="n">
        <v>23</v>
      </c>
      <c r="F234" s="23" t="n">
        <v>0</v>
      </c>
      <c r="G234" s="12" t="inlineStr">
        <is>
          <t>trigger_delay</t>
        </is>
      </c>
      <c r="H234" s="13" t="inlineStr">
        <is>
          <t>RW</t>
        </is>
      </c>
      <c r="I234" s="14" t="inlineStr">
        <is>
          <t>slice 或 sample 累加完成到生成触发信号的延迟
配置值为实际值减一</t>
        </is>
      </c>
    </row>
    <row r="235">
      <c r="A235" s="22" t="n"/>
      <c r="B235" s="23" t="n"/>
      <c r="C235" s="23" t="n"/>
      <c r="D235" s="23" t="n"/>
      <c r="E235" s="23" t="n">
        <v>22</v>
      </c>
      <c r="F235" s="23" t="n">
        <v>0</v>
      </c>
      <c r="G235" s="12" t="n"/>
      <c r="H235" s="13" t="n"/>
      <c r="I235" s="14" t="n"/>
    </row>
    <row r="236">
      <c r="A236" s="22" t="n"/>
      <c r="B236" s="23" t="n"/>
      <c r="C236" s="23" t="n"/>
      <c r="D236" s="23" t="n"/>
      <c r="E236" s="23" t="n">
        <v>21</v>
      </c>
      <c r="F236" s="23" t="n">
        <v>0</v>
      </c>
      <c r="G236" s="12" t="n"/>
      <c r="H236" s="13" t="n"/>
      <c r="I236" s="14" t="n"/>
    </row>
    <row r="237">
      <c r="A237" s="22" t="n"/>
      <c r="B237" s="23" t="n"/>
      <c r="C237" s="23" t="n"/>
      <c r="D237" s="23" t="n"/>
      <c r="E237" s="23" t="n">
        <v>20</v>
      </c>
      <c r="F237" s="23" t="n">
        <v>0</v>
      </c>
      <c r="G237" s="12" t="n"/>
      <c r="H237" s="13" t="n"/>
      <c r="I237" s="14" t="n"/>
    </row>
    <row r="238">
      <c r="A238" s="22" t="n"/>
      <c r="B238" s="23" t="n"/>
      <c r="C238" s="23" t="n"/>
      <c r="D238" s="23" t="n"/>
      <c r="E238" s="23" t="n">
        <v>19</v>
      </c>
      <c r="F238" s="23" t="n">
        <v>0</v>
      </c>
      <c r="G238" s="12" t="n"/>
      <c r="H238" s="13" t="n"/>
      <c r="I238" s="14" t="n"/>
    </row>
    <row r="239">
      <c r="A239" s="22" t="n"/>
      <c r="B239" s="23" t="n"/>
      <c r="C239" s="23" t="n"/>
      <c r="D239" s="23" t="n"/>
      <c r="E239" s="23" t="n">
        <v>18</v>
      </c>
      <c r="F239" s="23" t="n">
        <v>0</v>
      </c>
      <c r="G239" s="12" t="n"/>
      <c r="H239" s="13" t="n"/>
      <c r="I239" s="14" t="n"/>
    </row>
    <row r="240">
      <c r="A240" s="22" t="n"/>
      <c r="B240" s="23" t="n"/>
      <c r="C240" s="23" t="n"/>
      <c r="D240" s="23" t="n"/>
      <c r="E240" s="23" t="n">
        <v>17</v>
      </c>
      <c r="F240" s="23" t="n">
        <v>0</v>
      </c>
      <c r="G240" s="12" t="n"/>
      <c r="H240" s="13" t="n"/>
      <c r="I240" s="14" t="n"/>
    </row>
    <row r="241">
      <c r="A241" s="22" t="n"/>
      <c r="B241" s="23" t="n"/>
      <c r="C241" s="23" t="n"/>
      <c r="D241" s="23" t="n"/>
      <c r="E241" s="23" t="n">
        <v>16</v>
      </c>
      <c r="F241" s="23" t="n">
        <v>0</v>
      </c>
      <c r="G241" s="12" t="n"/>
      <c r="H241" s="13" t="n"/>
      <c r="I241" s="14" t="n"/>
    </row>
    <row r="242">
      <c r="A242" s="22" t="n"/>
      <c r="B242" s="23" t="n"/>
      <c r="C242" s="23" t="n"/>
      <c r="D242" s="23" t="str">
        <f>DEC2HEX(128*F242+64*F243+32*F244+16*F245+8*F246+4*F247+2*F248+1*F249,2)&amp;"h"</f>
        <v>00h</v>
      </c>
      <c r="E242" s="23" t="n">
        <v>15</v>
      </c>
      <c r="F242" s="23" t="n">
        <v>0</v>
      </c>
      <c r="G242" s="12" t="n"/>
      <c r="H242" s="13" t="n"/>
      <c r="I242" s="14" t="n"/>
    </row>
    <row r="243">
      <c r="A243" s="22" t="n"/>
      <c r="B243" s="23" t="n"/>
      <c r="C243" s="23" t="n"/>
      <c r="D243" s="23" t="n"/>
      <c r="E243" s="23" t="n">
        <v>14</v>
      </c>
      <c r="F243" s="23" t="n">
        <v>0</v>
      </c>
      <c r="G243" s="12" t="n"/>
      <c r="H243" s="13" t="n"/>
      <c r="I243" s="14" t="n"/>
    </row>
    <row r="244">
      <c r="A244" s="22" t="n"/>
      <c r="B244" s="23" t="n"/>
      <c r="C244" s="23" t="n"/>
      <c r="D244" s="23" t="n"/>
      <c r="E244" s="23" t="n">
        <v>13</v>
      </c>
      <c r="F244" s="23" t="n">
        <v>0</v>
      </c>
      <c r="G244" s="12" t="n"/>
      <c r="H244" s="13" t="n"/>
      <c r="I244" s="14" t="n"/>
    </row>
    <row r="245">
      <c r="A245" s="22" t="n"/>
      <c r="B245" s="23" t="n"/>
      <c r="C245" s="23" t="n"/>
      <c r="D245" s="23" t="n"/>
      <c r="E245" s="23" t="n">
        <v>12</v>
      </c>
      <c r="F245" s="23" t="n">
        <v>0</v>
      </c>
      <c r="G245" s="12" t="n"/>
      <c r="H245" s="13" t="n"/>
      <c r="I245" s="14" t="n"/>
    </row>
    <row r="246">
      <c r="A246" s="22" t="n"/>
      <c r="B246" s="23" t="n"/>
      <c r="C246" s="23" t="n"/>
      <c r="D246" s="23" t="n"/>
      <c r="E246" s="23" t="n">
        <v>11</v>
      </c>
      <c r="F246" s="23" t="n">
        <v>0</v>
      </c>
      <c r="G246" s="12" t="n"/>
      <c r="H246" s="13" t="n"/>
      <c r="I246" s="14" t="n"/>
    </row>
    <row r="247">
      <c r="A247" s="22" t="n"/>
      <c r="B247" s="23" t="n"/>
      <c r="C247" s="23" t="n"/>
      <c r="D247" s="23" t="n"/>
      <c r="E247" s="23" t="n">
        <v>10</v>
      </c>
      <c r="F247" s="23" t="n">
        <v>0</v>
      </c>
      <c r="G247" s="12" t="n"/>
      <c r="H247" s="13" t="n"/>
      <c r="I247" s="14" t="n"/>
    </row>
    <row r="248">
      <c r="A248" s="22" t="n"/>
      <c r="B248" s="23" t="n"/>
      <c r="C248" s="23" t="n"/>
      <c r="D248" s="23" t="n"/>
      <c r="E248" s="23" t="n">
        <v>9</v>
      </c>
      <c r="F248" s="23" t="n">
        <v>0</v>
      </c>
      <c r="G248" s="12" t="n"/>
      <c r="H248" s="13" t="n"/>
      <c r="I248" s="14" t="n"/>
    </row>
    <row r="249">
      <c r="A249" s="22" t="n"/>
      <c r="B249" s="23" t="n"/>
      <c r="C249" s="23" t="n"/>
      <c r="D249" s="23" t="n"/>
      <c r="E249" s="23" t="n">
        <v>8</v>
      </c>
      <c r="F249" s="23" t="n">
        <v>0</v>
      </c>
      <c r="G249" s="12" t="n"/>
      <c r="H249" s="13" t="n"/>
      <c r="I249" s="14" t="n"/>
    </row>
    <row r="250">
      <c r="A250" s="22" t="n"/>
      <c r="B250" s="23" t="n"/>
      <c r="C250" s="23" t="n"/>
      <c r="D250" s="23" t="str">
        <f>DEC2HEX(128*F250+64*F251+32*F252+16*F253+8*F254+4*F255+2*F256+1*F257,2)&amp;"h"</f>
        <v>02h</v>
      </c>
      <c r="E250" s="23" t="n">
        <v>7</v>
      </c>
      <c r="F250" s="23" t="n">
        <v>0</v>
      </c>
      <c r="G250" s="12" t="n"/>
      <c r="H250" s="13" t="n"/>
      <c r="I250" s="14" t="n"/>
    </row>
    <row r="251">
      <c r="A251" s="22" t="n"/>
      <c r="B251" s="23" t="n"/>
      <c r="C251" s="23" t="n"/>
      <c r="D251" s="23" t="n"/>
      <c r="E251" s="23" t="n">
        <v>6</v>
      </c>
      <c r="F251" s="23" t="n">
        <v>0</v>
      </c>
      <c r="G251" s="12" t="n"/>
      <c r="H251" s="13" t="n"/>
      <c r="I251" s="14" t="n"/>
    </row>
    <row r="252">
      <c r="A252" s="22" t="n"/>
      <c r="B252" s="23" t="n"/>
      <c r="C252" s="23" t="n"/>
      <c r="D252" s="23" t="n"/>
      <c r="E252" s="23" t="n">
        <v>5</v>
      </c>
      <c r="F252" s="23" t="n">
        <v>0</v>
      </c>
      <c r="G252" s="12" t="n"/>
      <c r="H252" s="13" t="n"/>
      <c r="I252" s="14" t="n"/>
    </row>
    <row r="253">
      <c r="A253" s="22" t="n"/>
      <c r="B253" s="23" t="n"/>
      <c r="C253" s="23" t="n"/>
      <c r="D253" s="23" t="n"/>
      <c r="E253" s="23" t="n">
        <v>4</v>
      </c>
      <c r="F253" s="23" t="n">
        <v>0</v>
      </c>
      <c r="G253" s="12" t="n"/>
      <c r="H253" s="13" t="n"/>
      <c r="I253" s="14" t="n"/>
    </row>
    <row r="254">
      <c r="A254" s="22" t="n"/>
      <c r="B254" s="23" t="n"/>
      <c r="C254" s="23" t="n"/>
      <c r="D254" s="23" t="n"/>
      <c r="E254" s="23" t="n">
        <v>3</v>
      </c>
      <c r="F254" s="23" t="n">
        <v>0</v>
      </c>
      <c r="G254" s="12" t="n"/>
      <c r="H254" s="13" t="n"/>
      <c r="I254" s="14" t="n"/>
    </row>
    <row r="255">
      <c r="A255" s="22" t="n"/>
      <c r="B255" s="23" t="n"/>
      <c r="C255" s="23" t="n"/>
      <c r="D255" s="23" t="n"/>
      <c r="E255" s="23" t="n">
        <v>2</v>
      </c>
      <c r="F255" s="23" t="n">
        <v>0</v>
      </c>
      <c r="G255" s="12" t="n"/>
      <c r="H255" s="13" t="n"/>
      <c r="I255" s="14" t="n"/>
    </row>
    <row r="256">
      <c r="A256" s="22" t="n"/>
      <c r="B256" s="23" t="n"/>
      <c r="C256" s="23" t="n"/>
      <c r="D256" s="23" t="n"/>
      <c r="E256" s="23" t="n">
        <v>1</v>
      </c>
      <c r="F256" s="23" t="n">
        <v>1</v>
      </c>
      <c r="G256" s="12" t="n"/>
      <c r="H256" s="13" t="n"/>
      <c r="I256" s="14" t="n"/>
    </row>
    <row r="257">
      <c r="A257" s="24" t="n"/>
      <c r="B257" s="25" t="n"/>
      <c r="C257" s="25" t="n"/>
      <c r="D257" s="25" t="n"/>
      <c r="E257" s="25" t="n">
        <v>0</v>
      </c>
      <c r="F257" s="25" t="n">
        <v>0</v>
      </c>
      <c r="G257" s="17" t="n"/>
      <c r="H257" s="18" t="n"/>
      <c r="I257" s="19" t="n"/>
    </row>
    <row r="258">
      <c r="A258" s="2" t="inlineStr">
        <is>
          <t>DATA_DELAY</t>
        </is>
      </c>
      <c r="B258" s="3" t="str">
        <f>DEC2HEX(32,4)&amp;"h"</f>
        <v>0020h</v>
      </c>
      <c r="C258" s="3" t="str">
        <f>LEFT(D258,2)&amp;LEFT(D266,2)&amp;LEFT(D274,2)&amp;LEFT(D282,2)&amp;"h"</f>
        <v>0100000Ch</v>
      </c>
      <c r="D258" s="3" t="str">
        <f>DEC2HEX(128*F258+64*F259+32*F260+16*F261+8*F262+4*F263+2*F264+1*F265,2)&amp;"h"</f>
        <v>01h</v>
      </c>
      <c r="E258" s="3" t="n">
        <v>31</v>
      </c>
      <c r="F258" s="3" t="n">
        <v>0</v>
      </c>
      <c r="G258" s="35" t="inlineStr">
        <is>
          <t>data_delay_per_slice</t>
        </is>
      </c>
      <c r="H258" s="36" t="inlineStr">
        <is>
          <t>RW</t>
        </is>
      </c>
      <c r="I258" s="37" t="inlineStr">
        <is>
          <t>slice 开始采样的数据延迟，每个slice 会累加一次</t>
        </is>
      </c>
    </row>
    <row r="259">
      <c r="A259" s="7" t="n"/>
      <c r="B259" s="8" t="n"/>
      <c r="C259" s="8" t="n"/>
      <c r="D259" s="8" t="n"/>
      <c r="E259" s="8" t="n">
        <v>30</v>
      </c>
      <c r="F259" s="8" t="n">
        <v>0</v>
      </c>
      <c r="G259" s="12" t="n"/>
      <c r="H259" s="13" t="n"/>
      <c r="I259" s="14" t="n"/>
    </row>
    <row r="260">
      <c r="A260" s="7" t="n"/>
      <c r="B260" s="8" t="n"/>
      <c r="C260" s="8" t="n"/>
      <c r="D260" s="8" t="n"/>
      <c r="E260" s="8" t="n">
        <v>29</v>
      </c>
      <c r="F260" s="8" t="n">
        <v>0</v>
      </c>
      <c r="G260" s="12" t="n"/>
      <c r="H260" s="13" t="n"/>
      <c r="I260" s="14" t="n"/>
    </row>
    <row r="261">
      <c r="A261" s="7" t="n"/>
      <c r="B261" s="8" t="n"/>
      <c r="C261" s="8" t="n"/>
      <c r="D261" s="8" t="n"/>
      <c r="E261" s="8" t="n">
        <v>28</v>
      </c>
      <c r="F261" s="8" t="n">
        <v>0</v>
      </c>
      <c r="G261" s="12" t="n"/>
      <c r="H261" s="13" t="n"/>
      <c r="I261" s="14" t="n"/>
    </row>
    <row r="262">
      <c r="A262" s="7" t="n"/>
      <c r="B262" s="8" t="n"/>
      <c r="C262" s="8" t="n"/>
      <c r="D262" s="8" t="n"/>
      <c r="E262" s="8" t="n">
        <v>27</v>
      </c>
      <c r="F262" s="8" t="n">
        <v>0</v>
      </c>
      <c r="G262" s="12" t="n"/>
      <c r="H262" s="13" t="n"/>
      <c r="I262" s="14" t="n"/>
    </row>
    <row r="263">
      <c r="A263" s="7" t="n"/>
      <c r="B263" s="8" t="n"/>
      <c r="C263" s="8" t="n"/>
      <c r="D263" s="8" t="n"/>
      <c r="E263" s="8" t="n">
        <v>26</v>
      </c>
      <c r="F263" s="8" t="n">
        <v>0</v>
      </c>
      <c r="G263" s="12" t="n"/>
      <c r="H263" s="13" t="n"/>
      <c r="I263" s="14" t="n"/>
    </row>
    <row r="264">
      <c r="A264" s="7" t="n"/>
      <c r="B264" s="8" t="n"/>
      <c r="C264" s="8" t="n"/>
      <c r="D264" s="8" t="n"/>
      <c r="E264" s="8" t="n">
        <v>25</v>
      </c>
      <c r="F264" s="8" t="n">
        <v>0</v>
      </c>
      <c r="G264" s="12" t="n"/>
      <c r="H264" s="13" t="n"/>
      <c r="I264" s="14" t="n"/>
    </row>
    <row r="265">
      <c r="A265" s="7" t="n"/>
      <c r="B265" s="8" t="n"/>
      <c r="C265" s="8" t="n"/>
      <c r="D265" s="8" t="n"/>
      <c r="E265" s="8" t="n">
        <v>24</v>
      </c>
      <c r="F265" s="8" t="n">
        <v>1</v>
      </c>
      <c r="G265" s="12" t="n"/>
      <c r="H265" s="13" t="n"/>
      <c r="I265" s="14" t="n"/>
    </row>
    <row r="266">
      <c r="A266" s="7" t="n"/>
      <c r="B266" s="8" t="n"/>
      <c r="C266" s="8" t="n"/>
      <c r="D266" s="8" t="str">
        <f>DEC2HEX(128*F266+64*F267+32*F268+16*F269+8*F270+4*F271+2*F272+1*F273,2)&amp;"h"</f>
        <v>00h</v>
      </c>
      <c r="E266" s="8" t="n">
        <v>23</v>
      </c>
      <c r="F266" s="8" t="n">
        <v>0</v>
      </c>
      <c r="G266" s="12" t="inlineStr">
        <is>
          <t>data_delay</t>
        </is>
      </c>
      <c r="H266" s="13" t="inlineStr">
        <is>
          <t>RW</t>
        </is>
      </c>
      <c r="I266" s="14" t="inlineStr">
        <is>
          <t>触发信号开始到下一次开始采样的延迟。
配置值为实际值
例如当 data_delay 配置为 5，data_delay_per_slice 为1。Sample 开始时触发信号到开始采样的延迟为 5 ，当第一个 slice 完成，第二个 slice 开始时的延迟为 6，第三个为 7。在新的 sample 开始时，将清零</t>
        </is>
      </c>
    </row>
    <row r="267">
      <c r="A267" s="7" t="n"/>
      <c r="B267" s="8" t="n"/>
      <c r="C267" s="8" t="n"/>
      <c r="D267" s="8" t="n"/>
      <c r="E267" s="8" t="n">
        <v>22</v>
      </c>
      <c r="F267" s="8" t="n">
        <v>0</v>
      </c>
      <c r="G267" s="12" t="n"/>
      <c r="H267" s="13" t="n"/>
      <c r="I267" s="14" t="n"/>
    </row>
    <row r="268">
      <c r="A268" s="7" t="n"/>
      <c r="B268" s="8" t="n"/>
      <c r="C268" s="8" t="n"/>
      <c r="D268" s="8" t="n"/>
      <c r="E268" s="8" t="n">
        <v>21</v>
      </c>
      <c r="F268" s="8" t="n">
        <v>0</v>
      </c>
      <c r="G268" s="12" t="n"/>
      <c r="H268" s="13" t="n"/>
      <c r="I268" s="14" t="n"/>
    </row>
    <row r="269">
      <c r="A269" s="7" t="n"/>
      <c r="B269" s="8" t="n"/>
      <c r="C269" s="8" t="n"/>
      <c r="D269" s="8" t="n"/>
      <c r="E269" s="8" t="n">
        <v>20</v>
      </c>
      <c r="F269" s="8" t="n">
        <v>0</v>
      </c>
      <c r="G269" s="12" t="n"/>
      <c r="H269" s="13" t="n"/>
      <c r="I269" s="14" t="n"/>
    </row>
    <row r="270">
      <c r="A270" s="7" t="n"/>
      <c r="B270" s="8" t="n"/>
      <c r="C270" s="8" t="n"/>
      <c r="D270" s="8" t="n"/>
      <c r="E270" s="8" t="n">
        <v>19</v>
      </c>
      <c r="F270" s="8" t="n">
        <v>0</v>
      </c>
      <c r="G270" s="12" t="n"/>
      <c r="H270" s="13" t="n"/>
      <c r="I270" s="14" t="n"/>
    </row>
    <row r="271">
      <c r="A271" s="7" t="n"/>
      <c r="B271" s="8" t="n"/>
      <c r="C271" s="8" t="n"/>
      <c r="D271" s="8" t="n"/>
      <c r="E271" s="8" t="n">
        <v>18</v>
      </c>
      <c r="F271" s="8" t="n">
        <v>0</v>
      </c>
      <c r="G271" s="12" t="n"/>
      <c r="H271" s="13" t="n"/>
      <c r="I271" s="14" t="n"/>
    </row>
    <row r="272">
      <c r="A272" s="7" t="n"/>
      <c r="B272" s="8" t="n"/>
      <c r="C272" s="8" t="n"/>
      <c r="D272" s="8" t="n"/>
      <c r="E272" s="8" t="n">
        <v>17</v>
      </c>
      <c r="F272" s="8" t="n">
        <v>0</v>
      </c>
      <c r="G272" s="12" t="n"/>
      <c r="H272" s="13" t="n"/>
      <c r="I272" s="14" t="n"/>
    </row>
    <row r="273">
      <c r="A273" s="7" t="n"/>
      <c r="B273" s="8" t="n"/>
      <c r="C273" s="8" t="n"/>
      <c r="D273" s="8" t="n"/>
      <c r="E273" s="8" t="n">
        <v>16</v>
      </c>
      <c r="F273" s="8" t="n">
        <v>0</v>
      </c>
      <c r="G273" s="12" t="n"/>
      <c r="H273" s="13" t="n"/>
      <c r="I273" s="14" t="n"/>
    </row>
    <row r="274">
      <c r="A274" s="7" t="n"/>
      <c r="B274" s="8" t="n"/>
      <c r="C274" s="8" t="n"/>
      <c r="D274" s="8" t="str">
        <f>DEC2HEX(128*F274+64*F275+32*F276+16*F277+8*F278+4*F279+2*F280+1*F281,2)&amp;"h"</f>
        <v>00h</v>
      </c>
      <c r="E274" s="8" t="n">
        <v>15</v>
      </c>
      <c r="F274" s="8" t="n">
        <v>0</v>
      </c>
      <c r="G274" s="12" t="n"/>
      <c r="H274" s="13" t="n"/>
      <c r="I274" s="14" t="n"/>
    </row>
    <row r="275">
      <c r="A275" s="7" t="n"/>
      <c r="B275" s="8" t="n"/>
      <c r="C275" s="8" t="n"/>
      <c r="D275" s="8" t="n"/>
      <c r="E275" s="8" t="n">
        <v>14</v>
      </c>
      <c r="F275" s="8" t="n">
        <v>0</v>
      </c>
      <c r="G275" s="12" t="n"/>
      <c r="H275" s="13" t="n"/>
      <c r="I275" s="14" t="n"/>
    </row>
    <row r="276">
      <c r="A276" s="7" t="n"/>
      <c r="B276" s="8" t="n"/>
      <c r="C276" s="8" t="n"/>
      <c r="D276" s="8" t="n"/>
      <c r="E276" s="8" t="n">
        <v>13</v>
      </c>
      <c r="F276" s="8" t="n">
        <v>0</v>
      </c>
      <c r="G276" s="12" t="n"/>
      <c r="H276" s="13" t="n"/>
      <c r="I276" s="14" t="n"/>
    </row>
    <row r="277">
      <c r="A277" s="7" t="n"/>
      <c r="B277" s="8" t="n"/>
      <c r="C277" s="8" t="n"/>
      <c r="D277" s="8" t="n"/>
      <c r="E277" s="8" t="n">
        <v>12</v>
      </c>
      <c r="F277" s="8" t="n">
        <v>0</v>
      </c>
      <c r="G277" s="12" t="n"/>
      <c r="H277" s="13" t="n"/>
      <c r="I277" s="14" t="n"/>
    </row>
    <row r="278">
      <c r="A278" s="7" t="n"/>
      <c r="B278" s="8" t="n"/>
      <c r="C278" s="8" t="n"/>
      <c r="D278" s="8" t="n"/>
      <c r="E278" s="8" t="n">
        <v>11</v>
      </c>
      <c r="F278" s="8" t="n">
        <v>0</v>
      </c>
      <c r="G278" s="12" t="n"/>
      <c r="H278" s="13" t="n"/>
      <c r="I278" s="14" t="n"/>
    </row>
    <row r="279">
      <c r="A279" s="7" t="n"/>
      <c r="B279" s="8" t="n"/>
      <c r="C279" s="8" t="n"/>
      <c r="D279" s="8" t="n"/>
      <c r="E279" s="8" t="n">
        <v>10</v>
      </c>
      <c r="F279" s="8" t="n">
        <v>0</v>
      </c>
      <c r="G279" s="12" t="n"/>
      <c r="H279" s="13" t="n"/>
      <c r="I279" s="14" t="n"/>
    </row>
    <row r="280">
      <c r="A280" s="7" t="n"/>
      <c r="B280" s="8" t="n"/>
      <c r="C280" s="8" t="n"/>
      <c r="D280" s="8" t="n"/>
      <c r="E280" s="8" t="n">
        <v>9</v>
      </c>
      <c r="F280" s="8" t="n">
        <v>0</v>
      </c>
      <c r="G280" s="12" t="n"/>
      <c r="H280" s="13" t="n"/>
      <c r="I280" s="14" t="n"/>
    </row>
    <row r="281">
      <c r="A281" s="7" t="n"/>
      <c r="B281" s="8" t="n"/>
      <c r="C281" s="8" t="n"/>
      <c r="D281" s="8" t="n"/>
      <c r="E281" s="8" t="n">
        <v>8</v>
      </c>
      <c r="F281" s="8" t="n">
        <v>0</v>
      </c>
      <c r="G281" s="12" t="n"/>
      <c r="H281" s="13" t="n"/>
      <c r="I281" s="14" t="n"/>
    </row>
    <row r="282">
      <c r="A282" s="7" t="n"/>
      <c r="B282" s="8" t="n"/>
      <c r="C282" s="8" t="n"/>
      <c r="D282" s="8" t="str">
        <f>DEC2HEX(128*F282+64*F283+32*F284+16*F285+8*F286+4*F287+2*F288+1*F289,2)&amp;"h"</f>
        <v>0Ch</v>
      </c>
      <c r="E282" s="8" t="n">
        <v>7</v>
      </c>
      <c r="F282" s="8" t="n">
        <v>0</v>
      </c>
      <c r="G282" s="12" t="n"/>
      <c r="H282" s="13" t="n"/>
      <c r="I282" s="14" t="n"/>
    </row>
    <row r="283">
      <c r="A283" s="7" t="n"/>
      <c r="B283" s="8" t="n"/>
      <c r="C283" s="8" t="n"/>
      <c r="D283" s="8" t="n"/>
      <c r="E283" s="8" t="n">
        <v>6</v>
      </c>
      <c r="F283" s="8" t="n">
        <v>0</v>
      </c>
      <c r="G283" s="12" t="n"/>
      <c r="H283" s="13" t="n"/>
      <c r="I283" s="14" t="n"/>
    </row>
    <row r="284">
      <c r="A284" s="7" t="n"/>
      <c r="B284" s="8" t="n"/>
      <c r="C284" s="8" t="n"/>
      <c r="D284" s="8" t="n"/>
      <c r="E284" s="8" t="n">
        <v>5</v>
      </c>
      <c r="F284" s="8" t="n">
        <v>0</v>
      </c>
      <c r="G284" s="12" t="n"/>
      <c r="H284" s="13" t="n"/>
      <c r="I284" s="14" t="n"/>
    </row>
    <row r="285">
      <c r="A285" s="7" t="n"/>
      <c r="B285" s="8" t="n"/>
      <c r="C285" s="8" t="n"/>
      <c r="D285" s="8" t="n"/>
      <c r="E285" s="8" t="n">
        <v>4</v>
      </c>
      <c r="F285" s="8" t="n">
        <v>0</v>
      </c>
      <c r="G285" s="12" t="n"/>
      <c r="H285" s="13" t="n"/>
      <c r="I285" s="14" t="n"/>
    </row>
    <row r="286">
      <c r="A286" s="7" t="n"/>
      <c r="B286" s="8" t="n"/>
      <c r="C286" s="8" t="n"/>
      <c r="D286" s="8" t="n"/>
      <c r="E286" s="8" t="n">
        <v>3</v>
      </c>
      <c r="F286" s="8" t="n">
        <v>1</v>
      </c>
      <c r="G286" s="12" t="n"/>
      <c r="H286" s="13" t="n"/>
      <c r="I286" s="14" t="n"/>
    </row>
    <row r="287">
      <c r="A287" s="7" t="n"/>
      <c r="B287" s="8" t="n"/>
      <c r="C287" s="8" t="n"/>
      <c r="D287" s="8" t="n"/>
      <c r="E287" s="8" t="n">
        <v>2</v>
      </c>
      <c r="F287" s="8" t="n">
        <v>1</v>
      </c>
      <c r="G287" s="12" t="n"/>
      <c r="H287" s="13" t="n"/>
      <c r="I287" s="14" t="n"/>
    </row>
    <row r="288">
      <c r="A288" s="7" t="n"/>
      <c r="B288" s="8" t="n"/>
      <c r="C288" s="8" t="n"/>
      <c r="D288" s="8" t="n"/>
      <c r="E288" s="8" t="n">
        <v>1</v>
      </c>
      <c r="F288" s="8" t="n">
        <v>0</v>
      </c>
      <c r="G288" s="12" t="n"/>
      <c r="H288" s="13" t="n"/>
      <c r="I288" s="14" t="n"/>
    </row>
    <row r="289">
      <c r="A289" s="15" t="n"/>
      <c r="B289" s="16" t="n"/>
      <c r="C289" s="16" t="n"/>
      <c r="D289" s="16" t="n"/>
      <c r="E289" s="16" t="n">
        <v>0</v>
      </c>
      <c r="F289" s="16" t="n">
        <v>0</v>
      </c>
      <c r="G289" s="17" t="n"/>
      <c r="H289" s="18" t="n"/>
      <c r="I289" s="19" t="n"/>
    </row>
    <row r="290">
      <c r="A290" s="20" t="inlineStr">
        <is>
          <t>TRIGGER_PULSE_CTRL</t>
        </is>
      </c>
      <c r="B290" s="21" t="str">
        <f>DEC2HEX(36,4)&amp;"h"</f>
        <v>0024h</v>
      </c>
      <c r="C290" s="21" t="str">
        <f>LEFT(D290,2)&amp;LEFT(D298,2)&amp;LEFT(D306,2)&amp;LEFT(D314,2)&amp;"h"</f>
        <v>00000002h</v>
      </c>
      <c r="D290" s="21" t="str">
        <f>DEC2HEX(128*F290+64*F291+32*F292+16*F293+8*F294+4*F295+2*F296+1*F297,2)&amp;"h"</f>
        <v>00h</v>
      </c>
      <c r="E290" s="21" t="n">
        <v>31</v>
      </c>
      <c r="F290" s="21" t="n">
        <v>0</v>
      </c>
      <c r="G290" s="4" t="inlineStr">
        <is>
          <t>RESERVED</t>
        </is>
      </c>
      <c r="H290" s="5" t="inlineStr">
        <is>
          <t>RO</t>
        </is>
      </c>
      <c r="I290" s="6" t="inlineStr">
        <is>
          <t>Reserved; keep at reset value.</t>
        </is>
      </c>
    </row>
    <row r="291">
      <c r="A291" s="22" t="n"/>
      <c r="B291" s="23" t="n"/>
      <c r="C291" s="23" t="n"/>
      <c r="D291" s="23" t="n"/>
      <c r="E291" s="23" t="n">
        <v>30</v>
      </c>
      <c r="F291" s="23" t="n">
        <v>0</v>
      </c>
      <c r="G291" s="9" t="n"/>
      <c r="H291" s="10" t="n"/>
      <c r="I291" s="11" t="n"/>
    </row>
    <row r="292">
      <c r="A292" s="22" t="n"/>
      <c r="B292" s="23" t="n"/>
      <c r="C292" s="23" t="n"/>
      <c r="D292" s="23" t="n"/>
      <c r="E292" s="23" t="n">
        <v>29</v>
      </c>
      <c r="F292" s="23" t="n">
        <v>0</v>
      </c>
      <c r="G292" s="9" t="n"/>
      <c r="H292" s="10" t="n"/>
      <c r="I292" s="11" t="n"/>
    </row>
    <row r="293">
      <c r="A293" s="22" t="n"/>
      <c r="B293" s="23" t="n"/>
      <c r="C293" s="23" t="n"/>
      <c r="D293" s="23" t="n"/>
      <c r="E293" s="23" t="n">
        <v>28</v>
      </c>
      <c r="F293" s="23" t="n">
        <v>0</v>
      </c>
      <c r="G293" s="9" t="n"/>
      <c r="H293" s="10" t="n"/>
      <c r="I293" s="11" t="n"/>
    </row>
    <row r="294">
      <c r="A294" s="22" t="n"/>
      <c r="B294" s="23" t="n"/>
      <c r="C294" s="23" t="n"/>
      <c r="D294" s="23" t="n"/>
      <c r="E294" s="23" t="n">
        <v>27</v>
      </c>
      <c r="F294" s="23" t="n">
        <v>0</v>
      </c>
      <c r="G294" s="9" t="n"/>
      <c r="H294" s="10" t="n"/>
      <c r="I294" s="11" t="n"/>
    </row>
    <row r="295">
      <c r="A295" s="22" t="n"/>
      <c r="B295" s="23" t="n"/>
      <c r="C295" s="23" t="n"/>
      <c r="D295" s="23" t="n"/>
      <c r="E295" s="23" t="n">
        <v>26</v>
      </c>
      <c r="F295" s="23" t="n">
        <v>0</v>
      </c>
      <c r="G295" s="9" t="n"/>
      <c r="H295" s="10" t="n"/>
      <c r="I295" s="11" t="n"/>
    </row>
    <row r="296">
      <c r="A296" s="22" t="n"/>
      <c r="B296" s="23" t="n"/>
      <c r="C296" s="23" t="n"/>
      <c r="D296" s="23" t="n"/>
      <c r="E296" s="23" t="n">
        <v>25</v>
      </c>
      <c r="F296" s="23" t="n">
        <v>0</v>
      </c>
      <c r="G296" s="9" t="n"/>
      <c r="H296" s="10" t="n"/>
      <c r="I296" s="11" t="n"/>
    </row>
    <row r="297">
      <c r="A297" s="22" t="n"/>
      <c r="B297" s="23" t="n"/>
      <c r="C297" s="23" t="n"/>
      <c r="D297" s="23" t="n"/>
      <c r="E297" s="23" t="n">
        <v>24</v>
      </c>
      <c r="F297" s="23" t="n">
        <v>0</v>
      </c>
      <c r="G297" s="9" t="n"/>
      <c r="H297" s="10" t="n"/>
      <c r="I297" s="11" t="n"/>
    </row>
    <row r="298">
      <c r="A298" s="22" t="n"/>
      <c r="B298" s="23" t="n"/>
      <c r="C298" s="23" t="n"/>
      <c r="D298" s="23" t="str">
        <f>DEC2HEX(128*F298+64*F299+32*F300+16*F301+8*F302+4*F303+2*F304+1*F305,2)&amp;"h"</f>
        <v>00h</v>
      </c>
      <c r="E298" s="23" t="n">
        <v>23</v>
      </c>
      <c r="F298" s="23" t="n">
        <v>0</v>
      </c>
      <c r="G298" s="9" t="n"/>
      <c r="H298" s="10" t="n"/>
      <c r="I298" s="11" t="n"/>
    </row>
    <row r="299">
      <c r="A299" s="22" t="n"/>
      <c r="B299" s="23" t="n"/>
      <c r="C299" s="23" t="n"/>
      <c r="D299" s="23" t="n"/>
      <c r="E299" s="23" t="n">
        <v>22</v>
      </c>
      <c r="F299" s="23" t="n">
        <v>0</v>
      </c>
      <c r="G299" s="9" t="n"/>
      <c r="H299" s="10" t="n"/>
      <c r="I299" s="11" t="n"/>
    </row>
    <row r="300">
      <c r="A300" s="22" t="n"/>
      <c r="B300" s="23" t="n"/>
      <c r="C300" s="23" t="n"/>
      <c r="D300" s="23" t="n"/>
      <c r="E300" s="23" t="n">
        <v>21</v>
      </c>
      <c r="F300" s="23" t="n">
        <v>0</v>
      </c>
      <c r="G300" s="9" t="n"/>
      <c r="H300" s="10" t="n"/>
      <c r="I300" s="11" t="n"/>
    </row>
    <row r="301">
      <c r="A301" s="22" t="n"/>
      <c r="B301" s="23" t="n"/>
      <c r="C301" s="23" t="n"/>
      <c r="D301" s="23" t="n"/>
      <c r="E301" s="23" t="n">
        <v>20</v>
      </c>
      <c r="F301" s="23" t="n">
        <v>0</v>
      </c>
      <c r="G301" s="9" t="n"/>
      <c r="H301" s="10" t="n"/>
      <c r="I301" s="11" t="n"/>
    </row>
    <row r="302">
      <c r="A302" s="22" t="n"/>
      <c r="B302" s="23" t="n"/>
      <c r="C302" s="23" t="n"/>
      <c r="D302" s="23" t="n"/>
      <c r="E302" s="23" t="n">
        <v>19</v>
      </c>
      <c r="F302" s="23" t="n">
        <v>0</v>
      </c>
      <c r="G302" s="9" t="n"/>
      <c r="H302" s="10" t="n"/>
      <c r="I302" s="11" t="n"/>
    </row>
    <row r="303">
      <c r="A303" s="22" t="n"/>
      <c r="B303" s="23" t="n"/>
      <c r="C303" s="23" t="n"/>
      <c r="D303" s="23" t="n"/>
      <c r="E303" s="23" t="n">
        <v>18</v>
      </c>
      <c r="F303" s="23" t="n">
        <v>0</v>
      </c>
      <c r="G303" s="9" t="n"/>
      <c r="H303" s="10" t="n"/>
      <c r="I303" s="11" t="n"/>
    </row>
    <row r="304">
      <c r="A304" s="22" t="n"/>
      <c r="B304" s="23" t="n"/>
      <c r="C304" s="23" t="n"/>
      <c r="D304" s="23" t="n"/>
      <c r="E304" s="23" t="n">
        <v>17</v>
      </c>
      <c r="F304" s="23" t="n">
        <v>0</v>
      </c>
      <c r="G304" s="9" t="n"/>
      <c r="H304" s="10" t="n"/>
      <c r="I304" s="11" t="n"/>
    </row>
    <row r="305">
      <c r="A305" s="22" t="n"/>
      <c r="B305" s="23" t="n"/>
      <c r="C305" s="23" t="n"/>
      <c r="D305" s="23" t="n"/>
      <c r="E305" s="23" t="n">
        <v>16</v>
      </c>
      <c r="F305" s="23" t="n">
        <v>0</v>
      </c>
      <c r="G305" s="12" t="inlineStr">
        <is>
          <t>ld_trigger_en</t>
        </is>
      </c>
      <c r="H305" s="13" t="inlineStr">
        <is>
          <t>RW</t>
        </is>
      </c>
      <c r="I305" s="14" t="inlineStr">
        <is>
          <t>ADC 触发开关</t>
        </is>
      </c>
    </row>
    <row r="306">
      <c r="A306" s="22" t="n"/>
      <c r="B306" s="23" t="n"/>
      <c r="C306" s="23" t="n"/>
      <c r="D306" s="23" t="str">
        <f>DEC2HEX(128*F306+64*F307+32*F308+16*F309+8*F310+4*F311+2*F312+1*F313,2)&amp;"h"</f>
        <v>00h</v>
      </c>
      <c r="E306" s="23" t="n">
        <v>15</v>
      </c>
      <c r="F306" s="23" t="n">
        <v>0</v>
      </c>
      <c r="G306" s="12" t="inlineStr">
        <is>
          <t>ld_trigger_pulse_width</t>
        </is>
      </c>
      <c r="H306" s="13" t="inlineStr">
        <is>
          <t>RW</t>
        </is>
      </c>
      <c r="I306" s="14" t="inlineStr">
        <is>
          <t>ADC 触发脉冲的宽度</t>
        </is>
      </c>
    </row>
    <row r="307">
      <c r="A307" s="22" t="n"/>
      <c r="B307" s="23" t="n"/>
      <c r="C307" s="23" t="n"/>
      <c r="D307" s="23" t="n"/>
      <c r="E307" s="23" t="n">
        <v>14</v>
      </c>
      <c r="F307" s="23" t="n">
        <v>0</v>
      </c>
      <c r="G307" s="12" t="n"/>
      <c r="H307" s="13" t="n"/>
      <c r="I307" s="14" t="n"/>
    </row>
    <row r="308">
      <c r="A308" s="22" t="n"/>
      <c r="B308" s="23" t="n"/>
      <c r="C308" s="23" t="n"/>
      <c r="D308" s="23" t="n"/>
      <c r="E308" s="23" t="n">
        <v>13</v>
      </c>
      <c r="F308" s="23" t="n">
        <v>0</v>
      </c>
      <c r="G308" s="12" t="n"/>
      <c r="H308" s="13" t="n"/>
      <c r="I308" s="14" t="n"/>
    </row>
    <row r="309">
      <c r="A309" s="22" t="n"/>
      <c r="B309" s="23" t="n"/>
      <c r="C309" s="23" t="n"/>
      <c r="D309" s="23" t="n"/>
      <c r="E309" s="23" t="n">
        <v>12</v>
      </c>
      <c r="F309" s="23" t="n">
        <v>0</v>
      </c>
      <c r="G309" s="12" t="n"/>
      <c r="H309" s="13" t="n"/>
      <c r="I309" s="14" t="n"/>
    </row>
    <row r="310">
      <c r="A310" s="22" t="n"/>
      <c r="B310" s="23" t="n"/>
      <c r="C310" s="23" t="n"/>
      <c r="D310" s="23" t="n"/>
      <c r="E310" s="23" t="n">
        <v>11</v>
      </c>
      <c r="F310" s="23" t="n">
        <v>0</v>
      </c>
      <c r="G310" s="12" t="n"/>
      <c r="H310" s="13" t="n"/>
      <c r="I310" s="14" t="n"/>
    </row>
    <row r="311">
      <c r="A311" s="22" t="n"/>
      <c r="B311" s="23" t="n"/>
      <c r="C311" s="23" t="n"/>
      <c r="D311" s="23" t="n"/>
      <c r="E311" s="23" t="n">
        <v>10</v>
      </c>
      <c r="F311" s="23" t="n">
        <v>0</v>
      </c>
      <c r="G311" s="12" t="n"/>
      <c r="H311" s="13" t="n"/>
      <c r="I311" s="14" t="n"/>
    </row>
    <row r="312">
      <c r="A312" s="22" t="n"/>
      <c r="B312" s="23" t="n"/>
      <c r="C312" s="23" t="n"/>
      <c r="D312" s="23" t="n"/>
      <c r="E312" s="23" t="n">
        <v>9</v>
      </c>
      <c r="F312" s="23" t="n">
        <v>0</v>
      </c>
      <c r="G312" s="12" t="n"/>
      <c r="H312" s="13" t="n"/>
      <c r="I312" s="14" t="n"/>
    </row>
    <row r="313">
      <c r="A313" s="22" t="n"/>
      <c r="B313" s="23" t="n"/>
      <c r="C313" s="23" t="n"/>
      <c r="D313" s="23" t="n"/>
      <c r="E313" s="23" t="n">
        <v>8</v>
      </c>
      <c r="F313" s="23" t="n">
        <v>0</v>
      </c>
      <c r="G313" s="12" t="n"/>
      <c r="H313" s="13" t="n"/>
      <c r="I313" s="14" t="n"/>
    </row>
    <row r="314">
      <c r="A314" s="22" t="n"/>
      <c r="B314" s="23" t="n"/>
      <c r="C314" s="23" t="n"/>
      <c r="D314" s="23" t="str">
        <f>DEC2HEX(128*F314+64*F315+32*F316+16*F317+8*F318+4*F319+2*F320+1*F321,2)&amp;"h"</f>
        <v>02h</v>
      </c>
      <c r="E314" s="23" t="n">
        <v>7</v>
      </c>
      <c r="F314" s="23" t="n">
        <v>0</v>
      </c>
      <c r="G314" s="12" t="n"/>
      <c r="H314" s="13" t="n"/>
      <c r="I314" s="14" t="n"/>
    </row>
    <row r="315">
      <c r="A315" s="22" t="n"/>
      <c r="B315" s="23" t="n"/>
      <c r="C315" s="23" t="n"/>
      <c r="D315" s="23" t="n"/>
      <c r="E315" s="23" t="n">
        <v>6</v>
      </c>
      <c r="F315" s="23" t="n">
        <v>0</v>
      </c>
      <c r="G315" s="12" t="n"/>
      <c r="H315" s="13" t="n"/>
      <c r="I315" s="14" t="n"/>
    </row>
    <row r="316">
      <c r="A316" s="22" t="n"/>
      <c r="B316" s="23" t="n"/>
      <c r="C316" s="23" t="n"/>
      <c r="D316" s="23" t="n"/>
      <c r="E316" s="23" t="n">
        <v>5</v>
      </c>
      <c r="F316" s="23" t="n">
        <v>0</v>
      </c>
      <c r="G316" s="12" t="n"/>
      <c r="H316" s="13" t="n"/>
      <c r="I316" s="14" t="n"/>
    </row>
    <row r="317">
      <c r="A317" s="22" t="n"/>
      <c r="B317" s="23" t="n"/>
      <c r="C317" s="23" t="n"/>
      <c r="D317" s="23" t="n"/>
      <c r="E317" s="23" t="n">
        <v>4</v>
      </c>
      <c r="F317" s="23" t="n">
        <v>0</v>
      </c>
      <c r="G317" s="12" t="n"/>
      <c r="H317" s="13" t="n"/>
      <c r="I317" s="14" t="n"/>
    </row>
    <row r="318">
      <c r="A318" s="22" t="n"/>
      <c r="B318" s="23" t="n"/>
      <c r="C318" s="23" t="n"/>
      <c r="D318" s="23" t="n"/>
      <c r="E318" s="23" t="n">
        <v>3</v>
      </c>
      <c r="F318" s="23" t="n">
        <v>0</v>
      </c>
      <c r="G318" s="12" t="n"/>
      <c r="H318" s="13" t="n"/>
      <c r="I318" s="14" t="n"/>
    </row>
    <row r="319">
      <c r="A319" s="22" t="n"/>
      <c r="B319" s="23" t="n"/>
      <c r="C319" s="23" t="n"/>
      <c r="D319" s="23" t="n"/>
      <c r="E319" s="23" t="n">
        <v>2</v>
      </c>
      <c r="F319" s="23" t="n">
        <v>0</v>
      </c>
      <c r="G319" s="12" t="n"/>
      <c r="H319" s="13" t="n"/>
      <c r="I319" s="14" t="n"/>
    </row>
    <row r="320">
      <c r="A320" s="22" t="n"/>
      <c r="B320" s="23" t="n"/>
      <c r="C320" s="23" t="n"/>
      <c r="D320" s="23" t="n"/>
      <c r="E320" s="23" t="n">
        <v>1</v>
      </c>
      <c r="F320" s="23" t="n">
        <v>1</v>
      </c>
      <c r="G320" s="12" t="n"/>
      <c r="H320" s="13" t="n"/>
      <c r="I320" s="14" t="n"/>
    </row>
    <row r="321">
      <c r="A321" s="24" t="n"/>
      <c r="B321" s="25" t="n"/>
      <c r="C321" s="25" t="n"/>
      <c r="D321" s="25" t="n"/>
      <c r="E321" s="25" t="n">
        <v>0</v>
      </c>
      <c r="F321" s="25" t="n">
        <v>0</v>
      </c>
      <c r="G321" s="17" t="n"/>
      <c r="H321" s="18" t="n"/>
      <c r="I321" s="19" t="n"/>
    </row>
    <row r="322">
      <c r="A322" s="2" t="inlineStr">
        <is>
          <t>BATCH_RESULT_ADDRESS</t>
        </is>
      </c>
      <c r="B322" s="3" t="str">
        <f>DEC2HEX(40,4)&amp;"h"</f>
        <v>0028h</v>
      </c>
      <c r="C322" s="3" t="str">
        <f>LEFT(D322,2)&amp;LEFT(D330,2)&amp;LEFT(D338,2)&amp;LEFT(D346,2)&amp;"h"</f>
        <v>00000000h</v>
      </c>
      <c r="D322" s="3" t="str">
        <f>DEC2HEX(128*F322+64*F323+32*F324+16*F325+8*F326+4*F327+2*F328+1*F329,2)&amp;"h"</f>
        <v>00h</v>
      </c>
      <c r="E322" s="3" t="n">
        <v>31</v>
      </c>
      <c r="F322" s="3" t="n">
        <v>0</v>
      </c>
      <c r="G322" s="35" t="inlineStr">
        <is>
          <t>batch_result_base_address</t>
        </is>
      </c>
      <c r="H322" s="36" t="inlineStr">
        <is>
          <t>RW</t>
        </is>
      </c>
      <c r="I322" s="37" t="inlineStr">
        <is>
          <t>每个 batch 累加结果存储的基地址
每个 batch 存储值的 offset 与 RTL 配置相关
OFFSET = 2 ^
  CEIL(LOG2(MAX_DATA_POINTS_PER_SAMPLE)) * 4
adc0 batch 结果存储在 batch_result_base_address，batch_result_base_address + OFFSET
adc0 batch 结果存储在
 batch_result_base_address + OFFSET
 batch_result_base_address + 2 * OFFSET
因此，需要保证 batch_result_base_address 到 batch_result_base_address + 2 * MAX_BATCH_COUNT * OFFSET 的地址段为空</t>
        </is>
      </c>
    </row>
    <row r="323">
      <c r="A323" s="7" t="n"/>
      <c r="B323" s="8" t="n"/>
      <c r="C323" s="8" t="n"/>
      <c r="D323" s="8" t="n"/>
      <c r="E323" s="8" t="n">
        <v>30</v>
      </c>
      <c r="F323" s="8" t="n">
        <v>0</v>
      </c>
      <c r="G323" s="12" t="n"/>
      <c r="H323" s="13" t="n"/>
      <c r="I323" s="14" t="n"/>
    </row>
    <row r="324">
      <c r="A324" s="7" t="n"/>
      <c r="B324" s="8" t="n"/>
      <c r="C324" s="8" t="n"/>
      <c r="D324" s="8" t="n"/>
      <c r="E324" s="8" t="n">
        <v>29</v>
      </c>
      <c r="F324" s="8" t="n">
        <v>0</v>
      </c>
      <c r="G324" s="12" t="n"/>
      <c r="H324" s="13" t="n"/>
      <c r="I324" s="14" t="n"/>
    </row>
    <row r="325">
      <c r="A325" s="7" t="n"/>
      <c r="B325" s="8" t="n"/>
      <c r="C325" s="8" t="n"/>
      <c r="D325" s="8" t="n"/>
      <c r="E325" s="8" t="n">
        <v>28</v>
      </c>
      <c r="F325" s="8" t="n">
        <v>0</v>
      </c>
      <c r="G325" s="12" t="n"/>
      <c r="H325" s="13" t="n"/>
      <c r="I325" s="14" t="n"/>
    </row>
    <row r="326">
      <c r="A326" s="7" t="n"/>
      <c r="B326" s="8" t="n"/>
      <c r="C326" s="8" t="n"/>
      <c r="D326" s="8" t="n"/>
      <c r="E326" s="8" t="n">
        <v>27</v>
      </c>
      <c r="F326" s="8" t="n">
        <v>0</v>
      </c>
      <c r="G326" s="12" t="n"/>
      <c r="H326" s="13" t="n"/>
      <c r="I326" s="14" t="n"/>
    </row>
    <row r="327">
      <c r="A327" s="7" t="n"/>
      <c r="B327" s="8" t="n"/>
      <c r="C327" s="8" t="n"/>
      <c r="D327" s="8" t="n"/>
      <c r="E327" s="8" t="n">
        <v>26</v>
      </c>
      <c r="F327" s="8" t="n">
        <v>0</v>
      </c>
      <c r="G327" s="12" t="n"/>
      <c r="H327" s="13" t="n"/>
      <c r="I327" s="14" t="n"/>
    </row>
    <row r="328">
      <c r="A328" s="7" t="n"/>
      <c r="B328" s="8" t="n"/>
      <c r="C328" s="8" t="n"/>
      <c r="D328" s="8" t="n"/>
      <c r="E328" s="8" t="n">
        <v>25</v>
      </c>
      <c r="F328" s="8" t="n">
        <v>0</v>
      </c>
      <c r="G328" s="12" t="n"/>
      <c r="H328" s="13" t="n"/>
      <c r="I328" s="14" t="n"/>
    </row>
    <row r="329">
      <c r="A329" s="7" t="n"/>
      <c r="B329" s="8" t="n"/>
      <c r="C329" s="8" t="n"/>
      <c r="D329" s="8" t="n"/>
      <c r="E329" s="8" t="n">
        <v>24</v>
      </c>
      <c r="F329" s="8" t="n">
        <v>0</v>
      </c>
      <c r="G329" s="12" t="n"/>
      <c r="H329" s="13" t="n"/>
      <c r="I329" s="14" t="n"/>
    </row>
    <row r="330">
      <c r="A330" s="7" t="n"/>
      <c r="B330" s="8" t="n"/>
      <c r="C330" s="8" t="n"/>
      <c r="D330" s="8" t="str">
        <f>DEC2HEX(128*F330+64*F331+32*F332+16*F333+8*F334+4*F335+2*F336+1*F337,2)&amp;"h"</f>
        <v>00h</v>
      </c>
      <c r="E330" s="8" t="n">
        <v>23</v>
      </c>
      <c r="F330" s="8" t="n">
        <v>0</v>
      </c>
      <c r="G330" s="12" t="n"/>
      <c r="H330" s="13" t="n"/>
      <c r="I330" s="14" t="n"/>
    </row>
    <row r="331">
      <c r="A331" s="7" t="n"/>
      <c r="B331" s="8" t="n"/>
      <c r="C331" s="8" t="n"/>
      <c r="D331" s="8" t="n"/>
      <c r="E331" s="8" t="n">
        <v>22</v>
      </c>
      <c r="F331" s="8" t="n">
        <v>0</v>
      </c>
      <c r="G331" s="12" t="n"/>
      <c r="H331" s="13" t="n"/>
      <c r="I331" s="14" t="n"/>
    </row>
    <row r="332">
      <c r="A332" s="7" t="n"/>
      <c r="B332" s="8" t="n"/>
      <c r="C332" s="8" t="n"/>
      <c r="D332" s="8" t="n"/>
      <c r="E332" s="8" t="n">
        <v>21</v>
      </c>
      <c r="F332" s="8" t="n">
        <v>0</v>
      </c>
      <c r="G332" s="12" t="n"/>
      <c r="H332" s="13" t="n"/>
      <c r="I332" s="14" t="n"/>
    </row>
    <row r="333">
      <c r="A333" s="7" t="n"/>
      <c r="B333" s="8" t="n"/>
      <c r="C333" s="8" t="n"/>
      <c r="D333" s="8" t="n"/>
      <c r="E333" s="8" t="n">
        <v>20</v>
      </c>
      <c r="F333" s="8" t="n">
        <v>0</v>
      </c>
      <c r="G333" s="12" t="n"/>
      <c r="H333" s="13" t="n"/>
      <c r="I333" s="14" t="n"/>
    </row>
    <row r="334">
      <c r="A334" s="7" t="n"/>
      <c r="B334" s="8" t="n"/>
      <c r="C334" s="8" t="n"/>
      <c r="D334" s="8" t="n"/>
      <c r="E334" s="8" t="n">
        <v>19</v>
      </c>
      <c r="F334" s="8" t="n">
        <v>0</v>
      </c>
      <c r="G334" s="12" t="n"/>
      <c r="H334" s="13" t="n"/>
      <c r="I334" s="14" t="n"/>
    </row>
    <row r="335">
      <c r="A335" s="7" t="n"/>
      <c r="B335" s="8" t="n"/>
      <c r="C335" s="8" t="n"/>
      <c r="D335" s="8" t="n"/>
      <c r="E335" s="8" t="n">
        <v>18</v>
      </c>
      <c r="F335" s="8" t="n">
        <v>0</v>
      </c>
      <c r="G335" s="12" t="n"/>
      <c r="H335" s="13" t="n"/>
      <c r="I335" s="14" t="n"/>
    </row>
    <row r="336">
      <c r="A336" s="7" t="n"/>
      <c r="B336" s="8" t="n"/>
      <c r="C336" s="8" t="n"/>
      <c r="D336" s="8" t="n"/>
      <c r="E336" s="8" t="n">
        <v>17</v>
      </c>
      <c r="F336" s="8" t="n">
        <v>0</v>
      </c>
      <c r="G336" s="12" t="n"/>
      <c r="H336" s="13" t="n"/>
      <c r="I336" s="14" t="n"/>
    </row>
    <row r="337">
      <c r="A337" s="7" t="n"/>
      <c r="B337" s="8" t="n"/>
      <c r="C337" s="8" t="n"/>
      <c r="D337" s="8" t="n"/>
      <c r="E337" s="8" t="n">
        <v>16</v>
      </c>
      <c r="F337" s="8" t="n">
        <v>0</v>
      </c>
      <c r="G337" s="12" t="n"/>
      <c r="H337" s="13" t="n"/>
      <c r="I337" s="14" t="n"/>
    </row>
    <row r="338">
      <c r="A338" s="7" t="n"/>
      <c r="B338" s="8" t="n"/>
      <c r="C338" s="8" t="n"/>
      <c r="D338" s="8" t="str">
        <f>DEC2HEX(128*F338+64*F339+32*F340+16*F341+8*F342+4*F343+2*F344+1*F345,2)&amp;"h"</f>
        <v>00h</v>
      </c>
      <c r="E338" s="8" t="n">
        <v>15</v>
      </c>
      <c r="F338" s="8" t="n">
        <v>0</v>
      </c>
      <c r="G338" s="12" t="n"/>
      <c r="H338" s="13" t="n"/>
      <c r="I338" s="14" t="n"/>
    </row>
    <row r="339">
      <c r="A339" s="7" t="n"/>
      <c r="B339" s="8" t="n"/>
      <c r="C339" s="8" t="n"/>
      <c r="D339" s="8" t="n"/>
      <c r="E339" s="8" t="n">
        <v>14</v>
      </c>
      <c r="F339" s="8" t="n">
        <v>0</v>
      </c>
      <c r="G339" s="12" t="n"/>
      <c r="H339" s="13" t="n"/>
      <c r="I339" s="14" t="n"/>
    </row>
    <row r="340">
      <c r="A340" s="7" t="n"/>
      <c r="B340" s="8" t="n"/>
      <c r="C340" s="8" t="n"/>
      <c r="D340" s="8" t="n"/>
      <c r="E340" s="8" t="n">
        <v>13</v>
      </c>
      <c r="F340" s="8" t="n">
        <v>0</v>
      </c>
      <c r="G340" s="12" t="n"/>
      <c r="H340" s="13" t="n"/>
      <c r="I340" s="14" t="n"/>
    </row>
    <row r="341">
      <c r="A341" s="7" t="n"/>
      <c r="B341" s="8" t="n"/>
      <c r="C341" s="8" t="n"/>
      <c r="D341" s="8" t="n"/>
      <c r="E341" s="8" t="n">
        <v>12</v>
      </c>
      <c r="F341" s="8" t="n">
        <v>0</v>
      </c>
      <c r="G341" s="12" t="n"/>
      <c r="H341" s="13" t="n"/>
      <c r="I341" s="14" t="n"/>
    </row>
    <row r="342">
      <c r="A342" s="7" t="n"/>
      <c r="B342" s="8" t="n"/>
      <c r="C342" s="8" t="n"/>
      <c r="D342" s="8" t="n"/>
      <c r="E342" s="8" t="n">
        <v>11</v>
      </c>
      <c r="F342" s="8" t="n">
        <v>0</v>
      </c>
      <c r="G342" s="12" t="n"/>
      <c r="H342" s="13" t="n"/>
      <c r="I342" s="14" t="n"/>
    </row>
    <row r="343">
      <c r="A343" s="7" t="n"/>
      <c r="B343" s="8" t="n"/>
      <c r="C343" s="8" t="n"/>
      <c r="D343" s="8" t="n"/>
      <c r="E343" s="8" t="n">
        <v>10</v>
      </c>
      <c r="F343" s="8" t="n">
        <v>0</v>
      </c>
      <c r="G343" s="12" t="n"/>
      <c r="H343" s="13" t="n"/>
      <c r="I343" s="14" t="n"/>
    </row>
    <row r="344">
      <c r="A344" s="7" t="n"/>
      <c r="B344" s="8" t="n"/>
      <c r="C344" s="8" t="n"/>
      <c r="D344" s="8" t="n"/>
      <c r="E344" s="8" t="n">
        <v>9</v>
      </c>
      <c r="F344" s="8" t="n">
        <v>0</v>
      </c>
      <c r="G344" s="12" t="n"/>
      <c r="H344" s="13" t="n"/>
      <c r="I344" s="14" t="n"/>
    </row>
    <row r="345">
      <c r="A345" s="7" t="n"/>
      <c r="B345" s="8" t="n"/>
      <c r="C345" s="8" t="n"/>
      <c r="D345" s="8" t="n"/>
      <c r="E345" s="8" t="n">
        <v>8</v>
      </c>
      <c r="F345" s="8" t="n">
        <v>0</v>
      </c>
      <c r="G345" s="12" t="n"/>
      <c r="H345" s="13" t="n"/>
      <c r="I345" s="14" t="n"/>
    </row>
    <row r="346">
      <c r="A346" s="7" t="n"/>
      <c r="B346" s="8" t="n"/>
      <c r="C346" s="8" t="n"/>
      <c r="D346" s="8" t="str">
        <f>DEC2HEX(128*F346+64*F347+32*F348+16*F349+8*F350+4*F351+2*F352+1*F353,2)&amp;"h"</f>
        <v>00h</v>
      </c>
      <c r="E346" s="8" t="n">
        <v>7</v>
      </c>
      <c r="F346" s="8" t="n">
        <v>0</v>
      </c>
      <c r="G346" s="12" t="n"/>
      <c r="H346" s="13" t="n"/>
      <c r="I346" s="14" t="n"/>
    </row>
    <row r="347">
      <c r="A347" s="7" t="n"/>
      <c r="B347" s="8" t="n"/>
      <c r="C347" s="8" t="n"/>
      <c r="D347" s="8" t="n"/>
      <c r="E347" s="8" t="n">
        <v>6</v>
      </c>
      <c r="F347" s="8" t="n">
        <v>0</v>
      </c>
      <c r="G347" s="12" t="n"/>
      <c r="H347" s="13" t="n"/>
      <c r="I347" s="14" t="n"/>
    </row>
    <row r="348">
      <c r="A348" s="7" t="n"/>
      <c r="B348" s="8" t="n"/>
      <c r="C348" s="8" t="n"/>
      <c r="D348" s="8" t="n"/>
      <c r="E348" s="8" t="n">
        <v>5</v>
      </c>
      <c r="F348" s="8" t="n">
        <v>0</v>
      </c>
      <c r="G348" s="12" t="n"/>
      <c r="H348" s="13" t="n"/>
      <c r="I348" s="14" t="n"/>
    </row>
    <row r="349">
      <c r="A349" s="7" t="n"/>
      <c r="B349" s="8" t="n"/>
      <c r="C349" s="8" t="n"/>
      <c r="D349" s="8" t="n"/>
      <c r="E349" s="8" t="n">
        <v>4</v>
      </c>
      <c r="F349" s="8" t="n">
        <v>0</v>
      </c>
      <c r="G349" s="12" t="n"/>
      <c r="H349" s="13" t="n"/>
      <c r="I349" s="14" t="n"/>
    </row>
    <row r="350">
      <c r="A350" s="7" t="n"/>
      <c r="B350" s="8" t="n"/>
      <c r="C350" s="8" t="n"/>
      <c r="D350" s="8" t="n"/>
      <c r="E350" s="8" t="n">
        <v>3</v>
      </c>
      <c r="F350" s="8" t="n">
        <v>0</v>
      </c>
      <c r="G350" s="12" t="n"/>
      <c r="H350" s="13" t="n"/>
      <c r="I350" s="14" t="n"/>
    </row>
    <row r="351">
      <c r="A351" s="7" t="n"/>
      <c r="B351" s="8" t="n"/>
      <c r="C351" s="8" t="n"/>
      <c r="D351" s="8" t="n"/>
      <c r="E351" s="8" t="n">
        <v>2</v>
      </c>
      <c r="F351" s="8" t="n">
        <v>0</v>
      </c>
      <c r="G351" s="12" t="n"/>
      <c r="H351" s="13" t="n"/>
      <c r="I351" s="14" t="n"/>
    </row>
    <row r="352">
      <c r="A352" s="7" t="n"/>
      <c r="B352" s="8" t="n"/>
      <c r="C352" s="8" t="n"/>
      <c r="D352" s="8" t="n"/>
      <c r="E352" s="8" t="n">
        <v>1</v>
      </c>
      <c r="F352" s="8" t="n">
        <v>0</v>
      </c>
      <c r="G352" s="12" t="n"/>
      <c r="H352" s="13" t="n"/>
      <c r="I352" s="14" t="n"/>
    </row>
    <row r="353">
      <c r="A353" s="15" t="n"/>
      <c r="B353" s="16" t="n"/>
      <c r="C353" s="16" t="n"/>
      <c r="D353" s="16" t="n"/>
      <c r="E353" s="16" t="n">
        <v>0</v>
      </c>
      <c r="F353" s="16" t="n">
        <v>0</v>
      </c>
      <c r="G353" s="17" t="n"/>
      <c r="H353" s="18" t="n"/>
      <c r="I353" s="19" t="n"/>
    </row>
    <row r="354">
      <c r="A354" s="20" t="inlineStr">
        <is>
          <t>RESULT_SUM_ADDRESS</t>
        </is>
      </c>
      <c r="B354" s="21" t="str">
        <f>DEC2HEX(44,4)&amp;"h"</f>
        <v>002Ch</v>
      </c>
      <c r="C354" s="21" t="str">
        <f>LEFT(D354,2)&amp;LEFT(D362,2)&amp;LEFT(D370,2)&amp;LEFT(D378,2)&amp;"h"</f>
        <v>00000000h</v>
      </c>
      <c r="D354" s="21" t="str">
        <f>DEC2HEX(128*F354+64*F355+32*F356+16*F357+8*F358+4*F359+2*F360+1*F361,2)&amp;"h"</f>
        <v>00h</v>
      </c>
      <c r="E354" s="21" t="n">
        <v>31</v>
      </c>
      <c r="F354" s="21" t="n">
        <v>0</v>
      </c>
      <c r="G354" s="35" t="inlineStr">
        <is>
          <t>result_sum_base_address</t>
        </is>
      </c>
      <c r="H354" s="36" t="inlineStr">
        <is>
          <t>RW</t>
        </is>
      </c>
      <c r="I354" s="37" t="inlineStr">
        <is>
          <t>所有 batch 的结果累加值存储位置
adc0 存储在 result_sum_base_address 
adc1 存储在 result_sum_base_address + OFFSET</t>
        </is>
      </c>
    </row>
    <row r="355">
      <c r="A355" s="22" t="n"/>
      <c r="B355" s="23" t="n"/>
      <c r="C355" s="23" t="n"/>
      <c r="D355" s="23" t="n"/>
      <c r="E355" s="23" t="n">
        <v>30</v>
      </c>
      <c r="F355" s="23" t="n">
        <v>0</v>
      </c>
      <c r="G355" s="12" t="n"/>
      <c r="H355" s="13" t="n"/>
      <c r="I355" s="14" t="n"/>
    </row>
    <row r="356">
      <c r="A356" s="22" t="n"/>
      <c r="B356" s="23" t="n"/>
      <c r="C356" s="23" t="n"/>
      <c r="D356" s="23" t="n"/>
      <c r="E356" s="23" t="n">
        <v>29</v>
      </c>
      <c r="F356" s="23" t="n">
        <v>0</v>
      </c>
      <c r="G356" s="12" t="n"/>
      <c r="H356" s="13" t="n"/>
      <c r="I356" s="14" t="n"/>
    </row>
    <row r="357">
      <c r="A357" s="22" t="n"/>
      <c r="B357" s="23" t="n"/>
      <c r="C357" s="23" t="n"/>
      <c r="D357" s="23" t="n"/>
      <c r="E357" s="23" t="n">
        <v>28</v>
      </c>
      <c r="F357" s="23" t="n">
        <v>0</v>
      </c>
      <c r="G357" s="12" t="n"/>
      <c r="H357" s="13" t="n"/>
      <c r="I357" s="14" t="n"/>
    </row>
    <row r="358">
      <c r="A358" s="22" t="n"/>
      <c r="B358" s="23" t="n"/>
      <c r="C358" s="23" t="n"/>
      <c r="D358" s="23" t="n"/>
      <c r="E358" s="23" t="n">
        <v>27</v>
      </c>
      <c r="F358" s="23" t="n">
        <v>0</v>
      </c>
      <c r="G358" s="12" t="n"/>
      <c r="H358" s="13" t="n"/>
      <c r="I358" s="14" t="n"/>
    </row>
    <row r="359">
      <c r="A359" s="22" t="n"/>
      <c r="B359" s="23" t="n"/>
      <c r="C359" s="23" t="n"/>
      <c r="D359" s="23" t="n"/>
      <c r="E359" s="23" t="n">
        <v>26</v>
      </c>
      <c r="F359" s="23" t="n">
        <v>0</v>
      </c>
      <c r="G359" s="12" t="n"/>
      <c r="H359" s="13" t="n"/>
      <c r="I359" s="14" t="n"/>
    </row>
    <row r="360">
      <c r="A360" s="22" t="n"/>
      <c r="B360" s="23" t="n"/>
      <c r="C360" s="23" t="n"/>
      <c r="D360" s="23" t="n"/>
      <c r="E360" s="23" t="n">
        <v>25</v>
      </c>
      <c r="F360" s="23" t="n">
        <v>0</v>
      </c>
      <c r="G360" s="12" t="n"/>
      <c r="H360" s="13" t="n"/>
      <c r="I360" s="14" t="n"/>
    </row>
    <row r="361">
      <c r="A361" s="22" t="n"/>
      <c r="B361" s="23" t="n"/>
      <c r="C361" s="23" t="n"/>
      <c r="D361" s="23" t="n"/>
      <c r="E361" s="23" t="n">
        <v>24</v>
      </c>
      <c r="F361" s="23" t="n">
        <v>0</v>
      </c>
      <c r="G361" s="12" t="n"/>
      <c r="H361" s="13" t="n"/>
      <c r="I361" s="14" t="n"/>
    </row>
    <row r="362">
      <c r="A362" s="22" t="n"/>
      <c r="B362" s="23" t="n"/>
      <c r="C362" s="23" t="n"/>
      <c r="D362" s="23" t="str">
        <f>DEC2HEX(128*F362+64*F363+32*F364+16*F365+8*F366+4*F367+2*F368+1*F369,2)&amp;"h"</f>
        <v>00h</v>
      </c>
      <c r="E362" s="23" t="n">
        <v>23</v>
      </c>
      <c r="F362" s="23" t="n">
        <v>0</v>
      </c>
      <c r="G362" s="12" t="n"/>
      <c r="H362" s="13" t="n"/>
      <c r="I362" s="14" t="n"/>
    </row>
    <row r="363">
      <c r="A363" s="22" t="n"/>
      <c r="B363" s="23" t="n"/>
      <c r="C363" s="23" t="n"/>
      <c r="D363" s="23" t="n"/>
      <c r="E363" s="23" t="n">
        <v>22</v>
      </c>
      <c r="F363" s="23" t="n">
        <v>0</v>
      </c>
      <c r="G363" s="12" t="n"/>
      <c r="H363" s="13" t="n"/>
      <c r="I363" s="14" t="n"/>
    </row>
    <row r="364">
      <c r="A364" s="22" t="n"/>
      <c r="B364" s="23" t="n"/>
      <c r="C364" s="23" t="n"/>
      <c r="D364" s="23" t="n"/>
      <c r="E364" s="23" t="n">
        <v>21</v>
      </c>
      <c r="F364" s="23" t="n">
        <v>0</v>
      </c>
      <c r="G364" s="12" t="n"/>
      <c r="H364" s="13" t="n"/>
      <c r="I364" s="14" t="n"/>
    </row>
    <row r="365">
      <c r="A365" s="22" t="n"/>
      <c r="B365" s="23" t="n"/>
      <c r="C365" s="23" t="n"/>
      <c r="D365" s="23" t="n"/>
      <c r="E365" s="23" t="n">
        <v>20</v>
      </c>
      <c r="F365" s="23" t="n">
        <v>0</v>
      </c>
      <c r="G365" s="12" t="n"/>
      <c r="H365" s="13" t="n"/>
      <c r="I365" s="14" t="n"/>
    </row>
    <row r="366">
      <c r="A366" s="22" t="n"/>
      <c r="B366" s="23" t="n"/>
      <c r="C366" s="23" t="n"/>
      <c r="D366" s="23" t="n"/>
      <c r="E366" s="23" t="n">
        <v>19</v>
      </c>
      <c r="F366" s="23" t="n">
        <v>0</v>
      </c>
      <c r="G366" s="12" t="n"/>
      <c r="H366" s="13" t="n"/>
      <c r="I366" s="14" t="n"/>
    </row>
    <row r="367">
      <c r="A367" s="22" t="n"/>
      <c r="B367" s="23" t="n"/>
      <c r="C367" s="23" t="n"/>
      <c r="D367" s="23" t="n"/>
      <c r="E367" s="23" t="n">
        <v>18</v>
      </c>
      <c r="F367" s="23" t="n">
        <v>0</v>
      </c>
      <c r="G367" s="12" t="n"/>
      <c r="H367" s="13" t="n"/>
      <c r="I367" s="14" t="n"/>
    </row>
    <row r="368">
      <c r="A368" s="22" t="n"/>
      <c r="B368" s="23" t="n"/>
      <c r="C368" s="23" t="n"/>
      <c r="D368" s="23" t="n"/>
      <c r="E368" s="23" t="n">
        <v>17</v>
      </c>
      <c r="F368" s="23" t="n">
        <v>0</v>
      </c>
      <c r="G368" s="12" t="n"/>
      <c r="H368" s="13" t="n"/>
      <c r="I368" s="14" t="n"/>
    </row>
    <row r="369">
      <c r="A369" s="22" t="n"/>
      <c r="B369" s="23" t="n"/>
      <c r="C369" s="23" t="n"/>
      <c r="D369" s="23" t="n"/>
      <c r="E369" s="23" t="n">
        <v>16</v>
      </c>
      <c r="F369" s="23" t="n">
        <v>0</v>
      </c>
      <c r="G369" s="12" t="n"/>
      <c r="H369" s="13" t="n"/>
      <c r="I369" s="14" t="n"/>
    </row>
    <row r="370">
      <c r="A370" s="22" t="n"/>
      <c r="B370" s="23" t="n"/>
      <c r="C370" s="23" t="n"/>
      <c r="D370" s="23" t="str">
        <f>DEC2HEX(128*F370+64*F371+32*F372+16*F373+8*F374+4*F375+2*F376+1*F377,2)&amp;"h"</f>
        <v>00h</v>
      </c>
      <c r="E370" s="23" t="n">
        <v>15</v>
      </c>
      <c r="F370" s="23" t="n">
        <v>0</v>
      </c>
      <c r="G370" s="12" t="n"/>
      <c r="H370" s="13" t="n"/>
      <c r="I370" s="14" t="n"/>
    </row>
    <row r="371">
      <c r="A371" s="22" t="n"/>
      <c r="B371" s="23" t="n"/>
      <c r="C371" s="23" t="n"/>
      <c r="D371" s="23" t="n"/>
      <c r="E371" s="23" t="n">
        <v>14</v>
      </c>
      <c r="F371" s="23" t="n">
        <v>0</v>
      </c>
      <c r="G371" s="12" t="n"/>
      <c r="H371" s="13" t="n"/>
      <c r="I371" s="14" t="n"/>
    </row>
    <row r="372">
      <c r="A372" s="22" t="n"/>
      <c r="B372" s="23" t="n"/>
      <c r="C372" s="23" t="n"/>
      <c r="D372" s="23" t="n"/>
      <c r="E372" s="23" t="n">
        <v>13</v>
      </c>
      <c r="F372" s="23" t="n">
        <v>0</v>
      </c>
      <c r="G372" s="12" t="n"/>
      <c r="H372" s="13" t="n"/>
      <c r="I372" s="14" t="n"/>
    </row>
    <row r="373">
      <c r="A373" s="22" t="n"/>
      <c r="B373" s="23" t="n"/>
      <c r="C373" s="23" t="n"/>
      <c r="D373" s="23" t="n"/>
      <c r="E373" s="23" t="n">
        <v>12</v>
      </c>
      <c r="F373" s="23" t="n">
        <v>0</v>
      </c>
      <c r="G373" s="12" t="n"/>
      <c r="H373" s="13" t="n"/>
      <c r="I373" s="14" t="n"/>
    </row>
    <row r="374">
      <c r="A374" s="22" t="n"/>
      <c r="B374" s="23" t="n"/>
      <c r="C374" s="23" t="n"/>
      <c r="D374" s="23" t="n"/>
      <c r="E374" s="23" t="n">
        <v>11</v>
      </c>
      <c r="F374" s="23" t="n">
        <v>0</v>
      </c>
      <c r="G374" s="12" t="n"/>
      <c r="H374" s="13" t="n"/>
      <c r="I374" s="14" t="n"/>
    </row>
    <row r="375">
      <c r="A375" s="22" t="n"/>
      <c r="B375" s="23" t="n"/>
      <c r="C375" s="23" t="n"/>
      <c r="D375" s="23" t="n"/>
      <c r="E375" s="23" t="n">
        <v>10</v>
      </c>
      <c r="F375" s="23" t="n">
        <v>0</v>
      </c>
      <c r="G375" s="12" t="n"/>
      <c r="H375" s="13" t="n"/>
      <c r="I375" s="14" t="n"/>
    </row>
    <row r="376">
      <c r="A376" s="22" t="n"/>
      <c r="B376" s="23" t="n"/>
      <c r="C376" s="23" t="n"/>
      <c r="D376" s="23" t="n"/>
      <c r="E376" s="23" t="n">
        <v>9</v>
      </c>
      <c r="F376" s="23" t="n">
        <v>0</v>
      </c>
      <c r="G376" s="12" t="n"/>
      <c r="H376" s="13" t="n"/>
      <c r="I376" s="14" t="n"/>
    </row>
    <row r="377">
      <c r="A377" s="22" t="n"/>
      <c r="B377" s="23" t="n"/>
      <c r="C377" s="23" t="n"/>
      <c r="D377" s="23" t="n"/>
      <c r="E377" s="23" t="n">
        <v>8</v>
      </c>
      <c r="F377" s="23" t="n">
        <v>0</v>
      </c>
      <c r="G377" s="12" t="n"/>
      <c r="H377" s="13" t="n"/>
      <c r="I377" s="14" t="n"/>
    </row>
    <row r="378">
      <c r="A378" s="22" t="n"/>
      <c r="B378" s="23" t="n"/>
      <c r="C378" s="23" t="n"/>
      <c r="D378" s="23" t="str">
        <f>DEC2HEX(128*F378+64*F379+32*F380+16*F381+8*F382+4*F383+2*F384+1*F385,2)&amp;"h"</f>
        <v>00h</v>
      </c>
      <c r="E378" s="23" t="n">
        <v>7</v>
      </c>
      <c r="F378" s="23" t="n">
        <v>0</v>
      </c>
      <c r="G378" s="12" t="n"/>
      <c r="H378" s="13" t="n"/>
      <c r="I378" s="14" t="n"/>
    </row>
    <row r="379">
      <c r="A379" s="22" t="n"/>
      <c r="B379" s="23" t="n"/>
      <c r="C379" s="23" t="n"/>
      <c r="D379" s="23" t="n"/>
      <c r="E379" s="23" t="n">
        <v>6</v>
      </c>
      <c r="F379" s="23" t="n">
        <v>0</v>
      </c>
      <c r="G379" s="12" t="n"/>
      <c r="H379" s="13" t="n"/>
      <c r="I379" s="14" t="n"/>
    </row>
    <row r="380">
      <c r="A380" s="22" t="n"/>
      <c r="B380" s="23" t="n"/>
      <c r="C380" s="23" t="n"/>
      <c r="D380" s="23" t="n"/>
      <c r="E380" s="23" t="n">
        <v>5</v>
      </c>
      <c r="F380" s="23" t="n">
        <v>0</v>
      </c>
      <c r="G380" s="12" t="n"/>
      <c r="H380" s="13" t="n"/>
      <c r="I380" s="14" t="n"/>
    </row>
    <row r="381">
      <c r="A381" s="22" t="n"/>
      <c r="B381" s="23" t="n"/>
      <c r="C381" s="23" t="n"/>
      <c r="D381" s="23" t="n"/>
      <c r="E381" s="23" t="n">
        <v>4</v>
      </c>
      <c r="F381" s="23" t="n">
        <v>0</v>
      </c>
      <c r="G381" s="12" t="n"/>
      <c r="H381" s="13" t="n"/>
      <c r="I381" s="14" t="n"/>
    </row>
    <row r="382">
      <c r="A382" s="22" t="n"/>
      <c r="B382" s="23" t="n"/>
      <c r="C382" s="23" t="n"/>
      <c r="D382" s="23" t="n"/>
      <c r="E382" s="23" t="n">
        <v>3</v>
      </c>
      <c r="F382" s="23" t="n">
        <v>0</v>
      </c>
      <c r="G382" s="12" t="n"/>
      <c r="H382" s="13" t="n"/>
      <c r="I382" s="14" t="n"/>
    </row>
    <row r="383">
      <c r="A383" s="22" t="n"/>
      <c r="B383" s="23" t="n"/>
      <c r="C383" s="23" t="n"/>
      <c r="D383" s="23" t="n"/>
      <c r="E383" s="23" t="n">
        <v>2</v>
      </c>
      <c r="F383" s="23" t="n">
        <v>0</v>
      </c>
      <c r="G383" s="12" t="n"/>
      <c r="H383" s="13" t="n"/>
      <c r="I383" s="14" t="n"/>
    </row>
    <row r="384">
      <c r="A384" s="22" t="n"/>
      <c r="B384" s="23" t="n"/>
      <c r="C384" s="23" t="n"/>
      <c r="D384" s="23" t="n"/>
      <c r="E384" s="23" t="n">
        <v>1</v>
      </c>
      <c r="F384" s="23" t="n">
        <v>0</v>
      </c>
      <c r="G384" s="12" t="n"/>
      <c r="H384" s="13" t="n"/>
      <c r="I384" s="14" t="n"/>
    </row>
    <row r="385">
      <c r="A385" s="24" t="n"/>
      <c r="B385" s="25" t="n"/>
      <c r="C385" s="25" t="n"/>
      <c r="D385" s="25" t="n"/>
      <c r="E385" s="25" t="n">
        <v>0</v>
      </c>
      <c r="F385" s="25" t="n">
        <v>0</v>
      </c>
      <c r="G385" s="17" t="n"/>
      <c r="H385" s="18" t="n"/>
      <c r="I385" s="19" t="n"/>
    </row>
    <row r="386">
      <c r="A386" s="2" t="inlineStr">
        <is>
          <t>IRQ_CTRL</t>
        </is>
      </c>
      <c r="B386" s="3" t="str">
        <f>DEC2HEX(48,4)&amp;"h"</f>
        <v>0030h</v>
      </c>
      <c r="C386" s="3" t="str">
        <f>LEFT(D386,2)&amp;LEFT(D394,2)&amp;LEFT(D402,2)&amp;LEFT(D410,2)&amp;"h"</f>
        <v>00000000h</v>
      </c>
      <c r="D386" s="3" t="str">
        <f>DEC2HEX(128*F386+64*F387+32*F388+16*F389+8*F390+4*F391+2*F392+1*F393,2)&amp;"h"</f>
        <v>00h</v>
      </c>
      <c r="E386" s="3" t="n">
        <v>31</v>
      </c>
      <c r="F386" s="3" t="n">
        <v>0</v>
      </c>
      <c r="G386" s="4" t="inlineStr">
        <is>
          <t>RESERVED</t>
        </is>
      </c>
      <c r="H386" s="5" t="inlineStr">
        <is>
          <t>RO</t>
        </is>
      </c>
      <c r="I386" s="6" t="inlineStr">
        <is>
          <t>Reserved; keep at reset value.</t>
        </is>
      </c>
    </row>
    <row r="387">
      <c r="A387" s="7" t="n"/>
      <c r="B387" s="8" t="n"/>
      <c r="C387" s="8" t="n"/>
      <c r="D387" s="8" t="n"/>
      <c r="E387" s="8" t="n">
        <v>30</v>
      </c>
      <c r="F387" s="8" t="n">
        <v>0</v>
      </c>
      <c r="G387" s="9" t="n"/>
      <c r="H387" s="10" t="n"/>
      <c r="I387" s="11" t="n"/>
    </row>
    <row r="388">
      <c r="A388" s="7" t="n"/>
      <c r="B388" s="8" t="n"/>
      <c r="C388" s="8" t="n"/>
      <c r="D388" s="8" t="n"/>
      <c r="E388" s="8" t="n">
        <v>29</v>
      </c>
      <c r="F388" s="8" t="n">
        <v>0</v>
      </c>
      <c r="G388" s="9" t="n"/>
      <c r="H388" s="10" t="n"/>
      <c r="I388" s="11" t="n"/>
    </row>
    <row r="389">
      <c r="A389" s="7" t="n"/>
      <c r="B389" s="8" t="n"/>
      <c r="C389" s="8" t="n"/>
      <c r="D389" s="8" t="n"/>
      <c r="E389" s="8" t="n">
        <v>28</v>
      </c>
      <c r="F389" s="8" t="n">
        <v>0</v>
      </c>
      <c r="G389" s="9" t="n"/>
      <c r="H389" s="10" t="n"/>
      <c r="I389" s="11" t="n"/>
    </row>
    <row r="390">
      <c r="A390" s="7" t="n"/>
      <c r="B390" s="8" t="n"/>
      <c r="C390" s="8" t="n"/>
      <c r="D390" s="8" t="n"/>
      <c r="E390" s="8" t="n">
        <v>27</v>
      </c>
      <c r="F390" s="8" t="n">
        <v>0</v>
      </c>
      <c r="G390" s="38" t="inlineStr">
        <is>
          <t>transfer_done_irq_clear</t>
        </is>
      </c>
      <c r="H390" s="39" t="inlineStr">
        <is>
          <t>W1T</t>
        </is>
      </c>
      <c r="I390" s="40" t="inlineStr">
        <is>
          <t>中断标志清除</t>
        </is>
      </c>
    </row>
    <row r="391">
      <c r="A391" s="7" t="n"/>
      <c r="B391" s="8" t="n"/>
      <c r="C391" s="8" t="n"/>
      <c r="D391" s="8" t="n"/>
      <c r="E391" s="8" t="n">
        <v>26</v>
      </c>
      <c r="F391" s="8" t="n">
        <v>0</v>
      </c>
      <c r="G391" s="38" t="inlineStr">
        <is>
          <t>sample_done_irq_clear</t>
        </is>
      </c>
      <c r="H391" s="39" t="inlineStr">
        <is>
          <t>W1T</t>
        </is>
      </c>
      <c r="I391" s="40" t="inlineStr"/>
    </row>
    <row r="392">
      <c r="A392" s="7" t="n"/>
      <c r="B392" s="8" t="n"/>
      <c r="C392" s="8" t="n"/>
      <c r="D392" s="8" t="n"/>
      <c r="E392" s="8" t="n">
        <v>25</v>
      </c>
      <c r="F392" s="8" t="n">
        <v>0</v>
      </c>
      <c r="G392" s="38" t="inlineStr">
        <is>
          <t>batch_done_irq_clear</t>
        </is>
      </c>
      <c r="H392" s="39" t="inlineStr">
        <is>
          <t>W1T</t>
        </is>
      </c>
      <c r="I392" s="40" t="inlineStr"/>
    </row>
    <row r="393">
      <c r="A393" s="7" t="n"/>
      <c r="B393" s="8" t="n"/>
      <c r="C393" s="8" t="n"/>
      <c r="D393" s="8" t="n"/>
      <c r="E393" s="8" t="n">
        <v>24</v>
      </c>
      <c r="F393" s="8" t="n">
        <v>0</v>
      </c>
      <c r="G393" s="38" t="inlineStr">
        <is>
          <t>slice_done_irq_clear</t>
        </is>
      </c>
      <c r="H393" s="39" t="inlineStr">
        <is>
          <t>W1T</t>
        </is>
      </c>
      <c r="I393" s="40" t="inlineStr"/>
    </row>
    <row r="394">
      <c r="A394" s="7" t="n"/>
      <c r="B394" s="8" t="n"/>
      <c r="C394" s="8" t="n"/>
      <c r="D394" s="8" t="str">
        <f>DEC2HEX(128*F394+64*F395+32*F396+16*F397+8*F398+4*F399+2*F400+1*F401,2)&amp;"h"</f>
        <v>00h</v>
      </c>
      <c r="E394" s="8" t="n">
        <v>23</v>
      </c>
      <c r="F394" s="8" t="n">
        <v>0</v>
      </c>
      <c r="G394" s="9" t="inlineStr">
        <is>
          <t>RESERVED</t>
        </is>
      </c>
      <c r="H394" s="10" t="inlineStr">
        <is>
          <t>RO</t>
        </is>
      </c>
      <c r="I394" s="11" t="inlineStr">
        <is>
          <t>Reserved; keep at reset value.</t>
        </is>
      </c>
    </row>
    <row r="395">
      <c r="A395" s="7" t="n"/>
      <c r="B395" s="8" t="n"/>
      <c r="C395" s="8" t="n"/>
      <c r="D395" s="8" t="n"/>
      <c r="E395" s="8" t="n">
        <v>22</v>
      </c>
      <c r="F395" s="8" t="n">
        <v>0</v>
      </c>
      <c r="G395" s="9" t="n"/>
      <c r="H395" s="10" t="n"/>
      <c r="I395" s="11" t="n"/>
    </row>
    <row r="396">
      <c r="A396" s="7" t="n"/>
      <c r="B396" s="8" t="n"/>
      <c r="C396" s="8" t="n"/>
      <c r="D396" s="8" t="n"/>
      <c r="E396" s="8" t="n">
        <v>21</v>
      </c>
      <c r="F396" s="8" t="n">
        <v>0</v>
      </c>
      <c r="G396" s="9" t="n"/>
      <c r="H396" s="10" t="n"/>
      <c r="I396" s="11" t="n"/>
    </row>
    <row r="397">
      <c r="A397" s="7" t="n"/>
      <c r="B397" s="8" t="n"/>
      <c r="C397" s="8" t="n"/>
      <c r="D397" s="8" t="n"/>
      <c r="E397" s="8" t="n">
        <v>20</v>
      </c>
      <c r="F397" s="8" t="n">
        <v>0</v>
      </c>
      <c r="G397" s="9" t="n"/>
      <c r="H397" s="10" t="n"/>
      <c r="I397" s="11" t="n"/>
    </row>
    <row r="398">
      <c r="A398" s="7" t="n"/>
      <c r="B398" s="8" t="n"/>
      <c r="C398" s="8" t="n"/>
      <c r="D398" s="8" t="n"/>
      <c r="E398" s="8" t="n">
        <v>19</v>
      </c>
      <c r="F398" s="8" t="n">
        <v>0</v>
      </c>
      <c r="G398" s="26" t="inlineStr">
        <is>
          <t>transfer_done_irq_flag</t>
        </is>
      </c>
      <c r="H398" s="27" t="inlineStr">
        <is>
          <t>RO</t>
        </is>
      </c>
      <c r="I398" s="28" t="inlineStr">
        <is>
          <t>中断标志位</t>
        </is>
      </c>
    </row>
    <row r="399">
      <c r="A399" s="7" t="n"/>
      <c r="B399" s="8" t="n"/>
      <c r="C399" s="8" t="n"/>
      <c r="D399" s="8" t="n"/>
      <c r="E399" s="8" t="n">
        <v>18</v>
      </c>
      <c r="F399" s="8" t="n">
        <v>0</v>
      </c>
      <c r="G399" s="26" t="inlineStr">
        <is>
          <t>sample_done_irq_flag</t>
        </is>
      </c>
      <c r="H399" s="27" t="inlineStr">
        <is>
          <t>RO</t>
        </is>
      </c>
      <c r="I399" s="28" t="inlineStr"/>
    </row>
    <row r="400">
      <c r="A400" s="7" t="n"/>
      <c r="B400" s="8" t="n"/>
      <c r="C400" s="8" t="n"/>
      <c r="D400" s="8" t="n"/>
      <c r="E400" s="8" t="n">
        <v>17</v>
      </c>
      <c r="F400" s="8" t="n">
        <v>0</v>
      </c>
      <c r="G400" s="26" t="inlineStr">
        <is>
          <t>batch_done_irq_flag</t>
        </is>
      </c>
      <c r="H400" s="27" t="inlineStr">
        <is>
          <t>RO</t>
        </is>
      </c>
      <c r="I400" s="28" t="inlineStr"/>
    </row>
    <row r="401">
      <c r="A401" s="7" t="n"/>
      <c r="B401" s="8" t="n"/>
      <c r="C401" s="8" t="n"/>
      <c r="D401" s="8" t="n"/>
      <c r="E401" s="8" t="n">
        <v>16</v>
      </c>
      <c r="F401" s="8" t="n">
        <v>0</v>
      </c>
      <c r="G401" s="26" t="inlineStr">
        <is>
          <t>slice_done_irq_flag</t>
        </is>
      </c>
      <c r="H401" s="27" t="inlineStr">
        <is>
          <t>RO</t>
        </is>
      </c>
      <c r="I401" s="28" t="inlineStr"/>
    </row>
    <row r="402">
      <c r="A402" s="7" t="n"/>
      <c r="B402" s="8" t="n"/>
      <c r="C402" s="8" t="n"/>
      <c r="D402" s="8" t="str">
        <f>DEC2HEX(128*F402+64*F403+32*F404+16*F405+8*F406+4*F407+2*F408+1*F409,2)&amp;"h"</f>
        <v>00h</v>
      </c>
      <c r="E402" s="8" t="n">
        <v>15</v>
      </c>
      <c r="F402" s="8" t="n">
        <v>0</v>
      </c>
      <c r="G402" s="9" t="inlineStr">
        <is>
          <t>RESERVED</t>
        </is>
      </c>
      <c r="H402" s="10" t="inlineStr">
        <is>
          <t>RO</t>
        </is>
      </c>
      <c r="I402" s="11" t="inlineStr">
        <is>
          <t>Reserved; keep at reset value.</t>
        </is>
      </c>
    </row>
    <row r="403">
      <c r="A403" s="7" t="n"/>
      <c r="B403" s="8" t="n"/>
      <c r="C403" s="8" t="n"/>
      <c r="D403" s="8" t="n"/>
      <c r="E403" s="8" t="n">
        <v>14</v>
      </c>
      <c r="F403" s="8" t="n">
        <v>0</v>
      </c>
      <c r="G403" s="9" t="n"/>
      <c r="H403" s="10" t="n"/>
      <c r="I403" s="11" t="n"/>
    </row>
    <row r="404">
      <c r="A404" s="7" t="n"/>
      <c r="B404" s="8" t="n"/>
      <c r="C404" s="8" t="n"/>
      <c r="D404" s="8" t="n"/>
      <c r="E404" s="8" t="n">
        <v>13</v>
      </c>
      <c r="F404" s="8" t="n">
        <v>0</v>
      </c>
      <c r="G404" s="9" t="n"/>
      <c r="H404" s="10" t="n"/>
      <c r="I404" s="11" t="n"/>
    </row>
    <row r="405">
      <c r="A405" s="7" t="n"/>
      <c r="B405" s="8" t="n"/>
      <c r="C405" s="8" t="n"/>
      <c r="D405" s="8" t="n"/>
      <c r="E405" s="8" t="n">
        <v>12</v>
      </c>
      <c r="F405" s="8" t="n">
        <v>0</v>
      </c>
      <c r="G405" s="9" t="n"/>
      <c r="H405" s="10" t="n"/>
      <c r="I405" s="11" t="n"/>
    </row>
    <row r="406">
      <c r="A406" s="7" t="n"/>
      <c r="B406" s="8" t="n"/>
      <c r="C406" s="8" t="n"/>
      <c r="D406" s="8" t="n"/>
      <c r="E406" s="8" t="n">
        <v>11</v>
      </c>
      <c r="F406" s="8" t="n">
        <v>0</v>
      </c>
      <c r="G406" s="12" t="inlineStr">
        <is>
          <t>transfer_done_irq_en</t>
        </is>
      </c>
      <c r="H406" s="13" t="inlineStr">
        <is>
          <t>RW</t>
        </is>
      </c>
      <c r="I406" s="14" t="inlineStr">
        <is>
          <t>中断使能</t>
        </is>
      </c>
    </row>
    <row r="407">
      <c r="A407" s="7" t="n"/>
      <c r="B407" s="8" t="n"/>
      <c r="C407" s="8" t="n"/>
      <c r="D407" s="8" t="n"/>
      <c r="E407" s="8" t="n">
        <v>10</v>
      </c>
      <c r="F407" s="8" t="n">
        <v>0</v>
      </c>
      <c r="G407" s="12" t="inlineStr">
        <is>
          <t>sample_done_irq_en</t>
        </is>
      </c>
      <c r="H407" s="13" t="inlineStr">
        <is>
          <t>RW</t>
        </is>
      </c>
      <c r="I407" s="14" t="inlineStr"/>
    </row>
    <row r="408">
      <c r="A408" s="7" t="n"/>
      <c r="B408" s="8" t="n"/>
      <c r="C408" s="8" t="n"/>
      <c r="D408" s="8" t="n"/>
      <c r="E408" s="8" t="n">
        <v>9</v>
      </c>
      <c r="F408" s="8" t="n">
        <v>0</v>
      </c>
      <c r="G408" s="12" t="inlineStr">
        <is>
          <t>batch_done_irq_en</t>
        </is>
      </c>
      <c r="H408" s="13" t="inlineStr">
        <is>
          <t>RW</t>
        </is>
      </c>
      <c r="I408" s="14" t="inlineStr"/>
    </row>
    <row r="409">
      <c r="A409" s="7" t="n"/>
      <c r="B409" s="8" t="n"/>
      <c r="C409" s="8" t="n"/>
      <c r="D409" s="8" t="n"/>
      <c r="E409" s="8" t="n">
        <v>8</v>
      </c>
      <c r="F409" s="8" t="n">
        <v>0</v>
      </c>
      <c r="G409" s="12" t="inlineStr">
        <is>
          <t>slice_done_irq_en</t>
        </is>
      </c>
      <c r="H409" s="13" t="inlineStr">
        <is>
          <t>RW</t>
        </is>
      </c>
      <c r="I409" s="14" t="inlineStr"/>
    </row>
    <row r="410">
      <c r="A410" s="7" t="n"/>
      <c r="B410" s="8" t="n"/>
      <c r="C410" s="8" t="n"/>
      <c r="D410" s="8" t="str">
        <f>DEC2HEX(128*F410+64*F411+32*F412+16*F413+8*F414+4*F415+2*F416+1*F417,2)&amp;"h"</f>
        <v>00h</v>
      </c>
      <c r="E410" s="8" t="n">
        <v>7</v>
      </c>
      <c r="F410" s="8" t="n">
        <v>0</v>
      </c>
      <c r="G410" s="9" t="inlineStr">
        <is>
          <t>RESERVED</t>
        </is>
      </c>
      <c r="H410" s="10" t="inlineStr">
        <is>
          <t>RO</t>
        </is>
      </c>
      <c r="I410" s="11" t="inlineStr">
        <is>
          <t>Reserved; keep at reset value.</t>
        </is>
      </c>
    </row>
    <row r="411">
      <c r="A411" s="7" t="n"/>
      <c r="B411" s="8" t="n"/>
      <c r="C411" s="8" t="n"/>
      <c r="D411" s="8" t="n"/>
      <c r="E411" s="8" t="n">
        <v>6</v>
      </c>
      <c r="F411" s="8" t="n">
        <v>0</v>
      </c>
      <c r="G411" s="9" t="n"/>
      <c r="H411" s="10" t="n"/>
      <c r="I411" s="11" t="n"/>
    </row>
    <row r="412">
      <c r="A412" s="7" t="n"/>
      <c r="B412" s="8" t="n"/>
      <c r="C412" s="8" t="n"/>
      <c r="D412" s="8" t="n"/>
      <c r="E412" s="8" t="n">
        <v>5</v>
      </c>
      <c r="F412" s="8" t="n">
        <v>0</v>
      </c>
      <c r="G412" s="9" t="n"/>
      <c r="H412" s="10" t="n"/>
      <c r="I412" s="11" t="n"/>
    </row>
    <row r="413">
      <c r="A413" s="7" t="n"/>
      <c r="B413" s="8" t="n"/>
      <c r="C413" s="8" t="n"/>
      <c r="D413" s="8" t="n"/>
      <c r="E413" s="8" t="n">
        <v>4</v>
      </c>
      <c r="F413" s="8" t="n">
        <v>0</v>
      </c>
      <c r="G413" s="9" t="n"/>
      <c r="H413" s="10" t="n"/>
      <c r="I413" s="11" t="n"/>
    </row>
    <row r="414">
      <c r="A414" s="7" t="n"/>
      <c r="B414" s="8" t="n"/>
      <c r="C414" s="8" t="n"/>
      <c r="D414" s="8" t="n"/>
      <c r="E414" s="8" t="n">
        <v>3</v>
      </c>
      <c r="F414" s="8" t="n">
        <v>0</v>
      </c>
      <c r="G414" s="9" t="n"/>
      <c r="H414" s="10" t="n"/>
      <c r="I414" s="11" t="n"/>
    </row>
    <row r="415">
      <c r="A415" s="7" t="n"/>
      <c r="B415" s="8" t="n"/>
      <c r="C415" s="8" t="n"/>
      <c r="D415" s="8" t="n"/>
      <c r="E415" s="8" t="n">
        <v>2</v>
      </c>
      <c r="F415" s="8" t="n">
        <v>0</v>
      </c>
      <c r="G415" s="9" t="n"/>
      <c r="H415" s="10" t="n"/>
      <c r="I415" s="11" t="n"/>
    </row>
    <row r="416">
      <c r="A416" s="7" t="n"/>
      <c r="B416" s="8" t="n"/>
      <c r="C416" s="8" t="n"/>
      <c r="D416" s="8" t="n"/>
      <c r="E416" s="8" t="n">
        <v>1</v>
      </c>
      <c r="F416" s="8" t="n">
        <v>0</v>
      </c>
      <c r="G416" s="9" t="n"/>
      <c r="H416" s="10" t="n"/>
      <c r="I416" s="11" t="n"/>
    </row>
    <row r="417">
      <c r="A417" s="15" t="n"/>
      <c r="B417" s="16" t="n"/>
      <c r="C417" s="16" t="n"/>
      <c r="D417" s="16" t="n"/>
      <c r="E417" s="16" t="n">
        <v>0</v>
      </c>
      <c r="F417" s="16" t="n">
        <v>0</v>
      </c>
      <c r="G417" s="17" t="inlineStr">
        <is>
          <t>irq_en</t>
        </is>
      </c>
      <c r="H417" s="18" t="inlineStr">
        <is>
          <t>RW</t>
        </is>
      </c>
      <c r="I417" s="19" t="inlineStr">
        <is>
          <t>全局中断开关</t>
        </is>
      </c>
    </row>
    <row r="418">
      <c r="A418" s="20" t="inlineStr">
        <is>
          <t>BATCH_IRQ_CNT</t>
        </is>
      </c>
      <c r="B418" s="21" t="str">
        <f>DEC2HEX(52,4)&amp;"h"</f>
        <v>0034h</v>
      </c>
      <c r="C418" s="21" t="str">
        <f>LEFT(D418,2)&amp;LEFT(D426,2)&amp;LEFT(D434,2)&amp;LEFT(D442,2)&amp;"h"</f>
        <v>00000000h</v>
      </c>
      <c r="D418" s="21" t="str">
        <f>DEC2HEX(128*F418+64*F419+32*F420+16*F421+8*F422+4*F423+2*F424+1*F425,2)&amp;"h"</f>
        <v>00h</v>
      </c>
      <c r="E418" s="21" t="n">
        <v>31</v>
      </c>
      <c r="F418" s="21" t="n">
        <v>0</v>
      </c>
      <c r="G418" s="4" t="inlineStr">
        <is>
          <t>RESERVED</t>
        </is>
      </c>
      <c r="H418" s="5" t="inlineStr">
        <is>
          <t>RO</t>
        </is>
      </c>
      <c r="I418" s="6" t="inlineStr">
        <is>
          <t>Reserved; keep at reset value.</t>
        </is>
      </c>
    </row>
    <row r="419">
      <c r="A419" s="22" t="n"/>
      <c r="B419" s="23" t="n"/>
      <c r="C419" s="23" t="n"/>
      <c r="D419" s="23" t="n"/>
      <c r="E419" s="23" t="n">
        <v>30</v>
      </c>
      <c r="F419" s="23" t="n">
        <v>0</v>
      </c>
      <c r="G419" s="9" t="n"/>
      <c r="H419" s="10" t="n"/>
      <c r="I419" s="11" t="n"/>
    </row>
    <row r="420">
      <c r="A420" s="22" t="n"/>
      <c r="B420" s="23" t="n"/>
      <c r="C420" s="23" t="n"/>
      <c r="D420" s="23" t="n"/>
      <c r="E420" s="23" t="n">
        <v>29</v>
      </c>
      <c r="F420" s="23" t="n">
        <v>0</v>
      </c>
      <c r="G420" s="9" t="n"/>
      <c r="H420" s="10" t="n"/>
      <c r="I420" s="11" t="n"/>
    </row>
    <row r="421">
      <c r="A421" s="22" t="n"/>
      <c r="B421" s="23" t="n"/>
      <c r="C421" s="23" t="n"/>
      <c r="D421" s="23" t="n"/>
      <c r="E421" s="23" t="n">
        <v>28</v>
      </c>
      <c r="F421" s="23" t="n">
        <v>0</v>
      </c>
      <c r="G421" s="9" t="n"/>
      <c r="H421" s="10" t="n"/>
      <c r="I421" s="11" t="n"/>
    </row>
    <row r="422">
      <c r="A422" s="22" t="n"/>
      <c r="B422" s="23" t="n"/>
      <c r="C422" s="23" t="n"/>
      <c r="D422" s="23" t="n"/>
      <c r="E422" s="23" t="n">
        <v>27</v>
      </c>
      <c r="F422" s="23" t="n">
        <v>0</v>
      </c>
      <c r="G422" s="9" t="n"/>
      <c r="H422" s="10" t="n"/>
      <c r="I422" s="11" t="n"/>
    </row>
    <row r="423">
      <c r="A423" s="22" t="n"/>
      <c r="B423" s="23" t="n"/>
      <c r="C423" s="23" t="n"/>
      <c r="D423" s="23" t="n"/>
      <c r="E423" s="23" t="n">
        <v>26</v>
      </c>
      <c r="F423" s="23" t="n">
        <v>0</v>
      </c>
      <c r="G423" s="9" t="n"/>
      <c r="H423" s="10" t="n"/>
      <c r="I423" s="11" t="n"/>
    </row>
    <row r="424">
      <c r="A424" s="22" t="n"/>
      <c r="B424" s="23" t="n"/>
      <c r="C424" s="23" t="n"/>
      <c r="D424" s="23" t="n"/>
      <c r="E424" s="23" t="n">
        <v>25</v>
      </c>
      <c r="F424" s="23" t="n">
        <v>0</v>
      </c>
      <c r="G424" s="9" t="n"/>
      <c r="H424" s="10" t="n"/>
      <c r="I424" s="11" t="n"/>
    </row>
    <row r="425">
      <c r="A425" s="22" t="n"/>
      <c r="B425" s="23" t="n"/>
      <c r="C425" s="23" t="n"/>
      <c r="D425" s="23" t="n"/>
      <c r="E425" s="23" t="n">
        <v>24</v>
      </c>
      <c r="F425" s="23" t="n">
        <v>0</v>
      </c>
      <c r="G425" s="9" t="n"/>
      <c r="H425" s="10" t="n"/>
      <c r="I425" s="11" t="n"/>
    </row>
    <row r="426">
      <c r="A426" s="22" t="n"/>
      <c r="B426" s="23" t="n"/>
      <c r="C426" s="23" t="n"/>
      <c r="D426" s="23" t="str">
        <f>DEC2HEX(128*F426+64*F427+32*F428+16*F429+8*F430+4*F431+2*F432+1*F433,2)&amp;"h"</f>
        <v>00h</v>
      </c>
      <c r="E426" s="23" t="n">
        <v>23</v>
      </c>
      <c r="F426" s="23" t="n">
        <v>0</v>
      </c>
      <c r="G426" s="26" t="inlineStr">
        <is>
          <t>current_irq_batch_cnt</t>
        </is>
      </c>
      <c r="H426" s="27" t="inlineStr">
        <is>
          <t>RO</t>
        </is>
      </c>
      <c r="I426" s="28" t="inlineStr">
        <is>
          <t>中断发生时的batch计数</t>
        </is>
      </c>
    </row>
    <row r="427">
      <c r="A427" s="22" t="n"/>
      <c r="B427" s="23" t="n"/>
      <c r="C427" s="23" t="n"/>
      <c r="D427" s="23" t="n"/>
      <c r="E427" s="23" t="n">
        <v>22</v>
      </c>
      <c r="F427" s="23" t="n">
        <v>0</v>
      </c>
      <c r="G427" s="26" t="n"/>
      <c r="H427" s="27" t="n"/>
      <c r="I427" s="28" t="n"/>
    </row>
    <row r="428">
      <c r="A428" s="22" t="n"/>
      <c r="B428" s="23" t="n"/>
      <c r="C428" s="23" t="n"/>
      <c r="D428" s="23" t="n"/>
      <c r="E428" s="23" t="n">
        <v>21</v>
      </c>
      <c r="F428" s="23" t="n">
        <v>0</v>
      </c>
      <c r="G428" s="26" t="n"/>
      <c r="H428" s="27" t="n"/>
      <c r="I428" s="28" t="n"/>
    </row>
    <row r="429">
      <c r="A429" s="22" t="n"/>
      <c r="B429" s="23" t="n"/>
      <c r="C429" s="23" t="n"/>
      <c r="D429" s="23" t="n"/>
      <c r="E429" s="23" t="n">
        <v>20</v>
      </c>
      <c r="F429" s="23" t="n">
        <v>0</v>
      </c>
      <c r="G429" s="26" t="n"/>
      <c r="H429" s="27" t="n"/>
      <c r="I429" s="28" t="n"/>
    </row>
    <row r="430">
      <c r="A430" s="22" t="n"/>
      <c r="B430" s="23" t="n"/>
      <c r="C430" s="23" t="n"/>
      <c r="D430" s="23" t="n"/>
      <c r="E430" s="23" t="n">
        <v>19</v>
      </c>
      <c r="F430" s="23" t="n">
        <v>0</v>
      </c>
      <c r="G430" s="26" t="n"/>
      <c r="H430" s="27" t="n"/>
      <c r="I430" s="28" t="n"/>
    </row>
    <row r="431">
      <c r="A431" s="22" t="n"/>
      <c r="B431" s="23" t="n"/>
      <c r="C431" s="23" t="n"/>
      <c r="D431" s="23" t="n"/>
      <c r="E431" s="23" t="n">
        <v>18</v>
      </c>
      <c r="F431" s="23" t="n">
        <v>0</v>
      </c>
      <c r="G431" s="26" t="n"/>
      <c r="H431" s="27" t="n"/>
      <c r="I431" s="28" t="n"/>
    </row>
    <row r="432">
      <c r="A432" s="22" t="n"/>
      <c r="B432" s="23" t="n"/>
      <c r="C432" s="23" t="n"/>
      <c r="D432" s="23" t="n"/>
      <c r="E432" s="23" t="n">
        <v>17</v>
      </c>
      <c r="F432" s="23" t="n">
        <v>0</v>
      </c>
      <c r="G432" s="26" t="n"/>
      <c r="H432" s="27" t="n"/>
      <c r="I432" s="28" t="n"/>
    </row>
    <row r="433">
      <c r="A433" s="22" t="n"/>
      <c r="B433" s="23" t="n"/>
      <c r="C433" s="23" t="n"/>
      <c r="D433" s="23" t="n"/>
      <c r="E433" s="23" t="n">
        <v>16</v>
      </c>
      <c r="F433" s="23" t="n">
        <v>0</v>
      </c>
      <c r="G433" s="26" t="n"/>
      <c r="H433" s="27" t="n"/>
      <c r="I433" s="28" t="n"/>
    </row>
    <row r="434">
      <c r="A434" s="22" t="n"/>
      <c r="B434" s="23" t="n"/>
      <c r="C434" s="23" t="n"/>
      <c r="D434" s="23" t="str">
        <f>DEC2HEX(128*F434+64*F435+32*F436+16*F437+8*F438+4*F439+2*F440+1*F441,2)&amp;"h"</f>
        <v>00h</v>
      </c>
      <c r="E434" s="23" t="n">
        <v>15</v>
      </c>
      <c r="F434" s="23" t="n">
        <v>0</v>
      </c>
      <c r="G434" s="26" t="n"/>
      <c r="H434" s="27" t="n"/>
      <c r="I434" s="28" t="n"/>
    </row>
    <row r="435">
      <c r="A435" s="22" t="n"/>
      <c r="B435" s="23" t="n"/>
      <c r="C435" s="23" t="n"/>
      <c r="D435" s="23" t="n"/>
      <c r="E435" s="23" t="n">
        <v>14</v>
      </c>
      <c r="F435" s="23" t="n">
        <v>0</v>
      </c>
      <c r="G435" s="26" t="n"/>
      <c r="H435" s="27" t="n"/>
      <c r="I435" s="28" t="n"/>
    </row>
    <row r="436">
      <c r="A436" s="22" t="n"/>
      <c r="B436" s="23" t="n"/>
      <c r="C436" s="23" t="n"/>
      <c r="D436" s="23" t="n"/>
      <c r="E436" s="23" t="n">
        <v>13</v>
      </c>
      <c r="F436" s="23" t="n">
        <v>0</v>
      </c>
      <c r="G436" s="26" t="n"/>
      <c r="H436" s="27" t="n"/>
      <c r="I436" s="28" t="n"/>
    </row>
    <row r="437">
      <c r="A437" s="22" t="n"/>
      <c r="B437" s="23" t="n"/>
      <c r="C437" s="23" t="n"/>
      <c r="D437" s="23" t="n"/>
      <c r="E437" s="23" t="n">
        <v>12</v>
      </c>
      <c r="F437" s="23" t="n">
        <v>0</v>
      </c>
      <c r="G437" s="26" t="n"/>
      <c r="H437" s="27" t="n"/>
      <c r="I437" s="28" t="n"/>
    </row>
    <row r="438">
      <c r="A438" s="22" t="n"/>
      <c r="B438" s="23" t="n"/>
      <c r="C438" s="23" t="n"/>
      <c r="D438" s="23" t="n"/>
      <c r="E438" s="23" t="n">
        <v>11</v>
      </c>
      <c r="F438" s="23" t="n">
        <v>0</v>
      </c>
      <c r="G438" s="26" t="n"/>
      <c r="H438" s="27" t="n"/>
      <c r="I438" s="28" t="n"/>
    </row>
    <row r="439">
      <c r="A439" s="22" t="n"/>
      <c r="B439" s="23" t="n"/>
      <c r="C439" s="23" t="n"/>
      <c r="D439" s="23" t="n"/>
      <c r="E439" s="23" t="n">
        <v>10</v>
      </c>
      <c r="F439" s="23" t="n">
        <v>0</v>
      </c>
      <c r="G439" s="26" t="n"/>
      <c r="H439" s="27" t="n"/>
      <c r="I439" s="28" t="n"/>
    </row>
    <row r="440">
      <c r="A440" s="22" t="n"/>
      <c r="B440" s="23" t="n"/>
      <c r="C440" s="23" t="n"/>
      <c r="D440" s="23" t="n"/>
      <c r="E440" s="23" t="n">
        <v>9</v>
      </c>
      <c r="F440" s="23" t="n">
        <v>0</v>
      </c>
      <c r="G440" s="26" t="n"/>
      <c r="H440" s="27" t="n"/>
      <c r="I440" s="28" t="n"/>
    </row>
    <row r="441">
      <c r="A441" s="22" t="n"/>
      <c r="B441" s="23" t="n"/>
      <c r="C441" s="23" t="n"/>
      <c r="D441" s="23" t="n"/>
      <c r="E441" s="23" t="n">
        <v>8</v>
      </c>
      <c r="F441" s="23" t="n">
        <v>0</v>
      </c>
      <c r="G441" s="26" t="n"/>
      <c r="H441" s="27" t="n"/>
      <c r="I441" s="28" t="n"/>
    </row>
    <row r="442">
      <c r="A442" s="22" t="n"/>
      <c r="B442" s="23" t="n"/>
      <c r="C442" s="23" t="n"/>
      <c r="D442" s="23" t="str">
        <f>DEC2HEX(128*F442+64*F443+32*F444+16*F445+8*F446+4*F447+2*F448+1*F449,2)&amp;"h"</f>
        <v>00h</v>
      </c>
      <c r="E442" s="23" t="n">
        <v>7</v>
      </c>
      <c r="F442" s="23" t="n">
        <v>0</v>
      </c>
      <c r="G442" s="26" t="n"/>
      <c r="H442" s="27" t="n"/>
      <c r="I442" s="28" t="n"/>
    </row>
    <row r="443">
      <c r="A443" s="22" t="n"/>
      <c r="B443" s="23" t="n"/>
      <c r="C443" s="23" t="n"/>
      <c r="D443" s="23" t="n"/>
      <c r="E443" s="23" t="n">
        <v>6</v>
      </c>
      <c r="F443" s="23" t="n">
        <v>0</v>
      </c>
      <c r="G443" s="26" t="n"/>
      <c r="H443" s="27" t="n"/>
      <c r="I443" s="28" t="n"/>
    </row>
    <row r="444">
      <c r="A444" s="22" t="n"/>
      <c r="B444" s="23" t="n"/>
      <c r="C444" s="23" t="n"/>
      <c r="D444" s="23" t="n"/>
      <c r="E444" s="23" t="n">
        <v>5</v>
      </c>
      <c r="F444" s="23" t="n">
        <v>0</v>
      </c>
      <c r="G444" s="26" t="n"/>
      <c r="H444" s="27" t="n"/>
      <c r="I444" s="28" t="n"/>
    </row>
    <row r="445">
      <c r="A445" s="22" t="n"/>
      <c r="B445" s="23" t="n"/>
      <c r="C445" s="23" t="n"/>
      <c r="D445" s="23" t="n"/>
      <c r="E445" s="23" t="n">
        <v>4</v>
      </c>
      <c r="F445" s="23" t="n">
        <v>0</v>
      </c>
      <c r="G445" s="26" t="n"/>
      <c r="H445" s="27" t="n"/>
      <c r="I445" s="28" t="n"/>
    </row>
    <row r="446">
      <c r="A446" s="22" t="n"/>
      <c r="B446" s="23" t="n"/>
      <c r="C446" s="23" t="n"/>
      <c r="D446" s="23" t="n"/>
      <c r="E446" s="23" t="n">
        <v>3</v>
      </c>
      <c r="F446" s="23" t="n">
        <v>0</v>
      </c>
      <c r="G446" s="26" t="n"/>
      <c r="H446" s="27" t="n"/>
      <c r="I446" s="28" t="n"/>
    </row>
    <row r="447">
      <c r="A447" s="22" t="n"/>
      <c r="B447" s="23" t="n"/>
      <c r="C447" s="23" t="n"/>
      <c r="D447" s="23" t="n"/>
      <c r="E447" s="23" t="n">
        <v>2</v>
      </c>
      <c r="F447" s="23" t="n">
        <v>0</v>
      </c>
      <c r="G447" s="26" t="n"/>
      <c r="H447" s="27" t="n"/>
      <c r="I447" s="28" t="n"/>
    </row>
    <row r="448">
      <c r="A448" s="22" t="n"/>
      <c r="B448" s="23" t="n"/>
      <c r="C448" s="23" t="n"/>
      <c r="D448" s="23" t="n"/>
      <c r="E448" s="23" t="n">
        <v>1</v>
      </c>
      <c r="F448" s="23" t="n">
        <v>0</v>
      </c>
      <c r="G448" s="26" t="n"/>
      <c r="H448" s="27" t="n"/>
      <c r="I448" s="28" t="n"/>
    </row>
    <row r="449">
      <c r="A449" s="24" t="n"/>
      <c r="B449" s="25" t="n"/>
      <c r="C449" s="25" t="n"/>
      <c r="D449" s="25" t="n"/>
      <c r="E449" s="25" t="n">
        <v>0</v>
      </c>
      <c r="F449" s="25" t="n">
        <v>0</v>
      </c>
      <c r="G449" s="29" t="n"/>
      <c r="H449" s="30" t="n"/>
      <c r="I449" s="31" t="n"/>
    </row>
    <row r="450">
      <c r="A450" s="2" t="inlineStr">
        <is>
          <t>SAMPLE_IRQ_CNT</t>
        </is>
      </c>
      <c r="B450" s="3" t="str">
        <f>DEC2HEX(56,4)&amp;"h"</f>
        <v>0038h</v>
      </c>
      <c r="C450" s="3" t="str">
        <f>LEFT(D450,2)&amp;LEFT(D458,2)&amp;LEFT(D466,2)&amp;LEFT(D474,2)&amp;"h"</f>
        <v>00000000h</v>
      </c>
      <c r="D450" s="3" t="str">
        <f>DEC2HEX(128*F450+64*F451+32*F452+16*F453+8*F454+4*F455+2*F456+1*F457,2)&amp;"h"</f>
        <v>00h</v>
      </c>
      <c r="E450" s="3" t="n">
        <v>31</v>
      </c>
      <c r="F450" s="3" t="n">
        <v>0</v>
      </c>
      <c r="G450" s="4" t="inlineStr">
        <is>
          <t>RESERVED</t>
        </is>
      </c>
      <c r="H450" s="5" t="inlineStr">
        <is>
          <t>RO</t>
        </is>
      </c>
      <c r="I450" s="6" t="inlineStr">
        <is>
          <t>Reserved; keep at reset value.</t>
        </is>
      </c>
    </row>
    <row r="451">
      <c r="A451" s="7" t="n"/>
      <c r="B451" s="8" t="n"/>
      <c r="C451" s="8" t="n"/>
      <c r="D451" s="8" t="n"/>
      <c r="E451" s="8" t="n">
        <v>30</v>
      </c>
      <c r="F451" s="8" t="n">
        <v>0</v>
      </c>
      <c r="G451" s="9" t="n"/>
      <c r="H451" s="10" t="n"/>
      <c r="I451" s="11" t="n"/>
    </row>
    <row r="452">
      <c r="A452" s="7" t="n"/>
      <c r="B452" s="8" t="n"/>
      <c r="C452" s="8" t="n"/>
      <c r="D452" s="8" t="n"/>
      <c r="E452" s="8" t="n">
        <v>29</v>
      </c>
      <c r="F452" s="8" t="n">
        <v>0</v>
      </c>
      <c r="G452" s="9" t="n"/>
      <c r="H452" s="10" t="n"/>
      <c r="I452" s="11" t="n"/>
    </row>
    <row r="453">
      <c r="A453" s="7" t="n"/>
      <c r="B453" s="8" t="n"/>
      <c r="C453" s="8" t="n"/>
      <c r="D453" s="8" t="n"/>
      <c r="E453" s="8" t="n">
        <v>28</v>
      </c>
      <c r="F453" s="8" t="n">
        <v>0</v>
      </c>
      <c r="G453" s="9" t="n"/>
      <c r="H453" s="10" t="n"/>
      <c r="I453" s="11" t="n"/>
    </row>
    <row r="454">
      <c r="A454" s="7" t="n"/>
      <c r="B454" s="8" t="n"/>
      <c r="C454" s="8" t="n"/>
      <c r="D454" s="8" t="n"/>
      <c r="E454" s="8" t="n">
        <v>27</v>
      </c>
      <c r="F454" s="8" t="n">
        <v>0</v>
      </c>
      <c r="G454" s="9" t="n"/>
      <c r="H454" s="10" t="n"/>
      <c r="I454" s="11" t="n"/>
    </row>
    <row r="455">
      <c r="A455" s="7" t="n"/>
      <c r="B455" s="8" t="n"/>
      <c r="C455" s="8" t="n"/>
      <c r="D455" s="8" t="n"/>
      <c r="E455" s="8" t="n">
        <v>26</v>
      </c>
      <c r="F455" s="8" t="n">
        <v>0</v>
      </c>
      <c r="G455" s="9" t="n"/>
      <c r="H455" s="10" t="n"/>
      <c r="I455" s="11" t="n"/>
    </row>
    <row r="456">
      <c r="A456" s="7" t="n"/>
      <c r="B456" s="8" t="n"/>
      <c r="C456" s="8" t="n"/>
      <c r="D456" s="8" t="n"/>
      <c r="E456" s="8" t="n">
        <v>25</v>
      </c>
      <c r="F456" s="8" t="n">
        <v>0</v>
      </c>
      <c r="G456" s="9" t="n"/>
      <c r="H456" s="10" t="n"/>
      <c r="I456" s="11" t="n"/>
    </row>
    <row r="457">
      <c r="A457" s="7" t="n"/>
      <c r="B457" s="8" t="n"/>
      <c r="C457" s="8" t="n"/>
      <c r="D457" s="8" t="n"/>
      <c r="E457" s="8" t="n">
        <v>24</v>
      </c>
      <c r="F457" s="8" t="n">
        <v>0</v>
      </c>
      <c r="G457" s="9" t="n"/>
      <c r="H457" s="10" t="n"/>
      <c r="I457" s="11" t="n"/>
    </row>
    <row r="458">
      <c r="A458" s="7" t="n"/>
      <c r="B458" s="8" t="n"/>
      <c r="C458" s="8" t="n"/>
      <c r="D458" s="8" t="str">
        <f>DEC2HEX(128*F458+64*F459+32*F460+16*F461+8*F462+4*F463+2*F464+1*F465,2)&amp;"h"</f>
        <v>00h</v>
      </c>
      <c r="E458" s="8" t="n">
        <v>23</v>
      </c>
      <c r="F458" s="8" t="n">
        <v>0</v>
      </c>
      <c r="G458" s="26" t="inlineStr">
        <is>
          <t>current_irq_sample_cnt</t>
        </is>
      </c>
      <c r="H458" s="27" t="inlineStr">
        <is>
          <t>RO</t>
        </is>
      </c>
      <c r="I458" s="28" t="inlineStr">
        <is>
          <t>中断发生时的sample计数</t>
        </is>
      </c>
    </row>
    <row r="459">
      <c r="A459" s="7" t="n"/>
      <c r="B459" s="8" t="n"/>
      <c r="C459" s="8" t="n"/>
      <c r="D459" s="8" t="n"/>
      <c r="E459" s="8" t="n">
        <v>22</v>
      </c>
      <c r="F459" s="8" t="n">
        <v>0</v>
      </c>
      <c r="G459" s="26" t="n"/>
      <c r="H459" s="27" t="n"/>
      <c r="I459" s="28" t="n"/>
    </row>
    <row r="460">
      <c r="A460" s="7" t="n"/>
      <c r="B460" s="8" t="n"/>
      <c r="C460" s="8" t="n"/>
      <c r="D460" s="8" t="n"/>
      <c r="E460" s="8" t="n">
        <v>21</v>
      </c>
      <c r="F460" s="8" t="n">
        <v>0</v>
      </c>
      <c r="G460" s="26" t="n"/>
      <c r="H460" s="27" t="n"/>
      <c r="I460" s="28" t="n"/>
    </row>
    <row r="461">
      <c r="A461" s="7" t="n"/>
      <c r="B461" s="8" t="n"/>
      <c r="C461" s="8" t="n"/>
      <c r="D461" s="8" t="n"/>
      <c r="E461" s="8" t="n">
        <v>20</v>
      </c>
      <c r="F461" s="8" t="n">
        <v>0</v>
      </c>
      <c r="G461" s="26" t="n"/>
      <c r="H461" s="27" t="n"/>
      <c r="I461" s="28" t="n"/>
    </row>
    <row r="462">
      <c r="A462" s="7" t="n"/>
      <c r="B462" s="8" t="n"/>
      <c r="C462" s="8" t="n"/>
      <c r="D462" s="8" t="n"/>
      <c r="E462" s="8" t="n">
        <v>19</v>
      </c>
      <c r="F462" s="8" t="n">
        <v>0</v>
      </c>
      <c r="G462" s="26" t="n"/>
      <c r="H462" s="27" t="n"/>
      <c r="I462" s="28" t="n"/>
    </row>
    <row r="463">
      <c r="A463" s="7" t="n"/>
      <c r="B463" s="8" t="n"/>
      <c r="C463" s="8" t="n"/>
      <c r="D463" s="8" t="n"/>
      <c r="E463" s="8" t="n">
        <v>18</v>
      </c>
      <c r="F463" s="8" t="n">
        <v>0</v>
      </c>
      <c r="G463" s="26" t="n"/>
      <c r="H463" s="27" t="n"/>
      <c r="I463" s="28" t="n"/>
    </row>
    <row r="464">
      <c r="A464" s="7" t="n"/>
      <c r="B464" s="8" t="n"/>
      <c r="C464" s="8" t="n"/>
      <c r="D464" s="8" t="n"/>
      <c r="E464" s="8" t="n">
        <v>17</v>
      </c>
      <c r="F464" s="8" t="n">
        <v>0</v>
      </c>
      <c r="G464" s="26" t="n"/>
      <c r="H464" s="27" t="n"/>
      <c r="I464" s="28" t="n"/>
    </row>
    <row r="465">
      <c r="A465" s="7" t="n"/>
      <c r="B465" s="8" t="n"/>
      <c r="C465" s="8" t="n"/>
      <c r="D465" s="8" t="n"/>
      <c r="E465" s="8" t="n">
        <v>16</v>
      </c>
      <c r="F465" s="8" t="n">
        <v>0</v>
      </c>
      <c r="G465" s="26" t="n"/>
      <c r="H465" s="27" t="n"/>
      <c r="I465" s="28" t="n"/>
    </row>
    <row r="466">
      <c r="A466" s="7" t="n"/>
      <c r="B466" s="8" t="n"/>
      <c r="C466" s="8" t="n"/>
      <c r="D466" s="8" t="str">
        <f>DEC2HEX(128*F466+64*F467+32*F468+16*F469+8*F470+4*F471+2*F472+1*F473,2)&amp;"h"</f>
        <v>00h</v>
      </c>
      <c r="E466" s="8" t="n">
        <v>15</v>
      </c>
      <c r="F466" s="8" t="n">
        <v>0</v>
      </c>
      <c r="G466" s="26" t="n"/>
      <c r="H466" s="27" t="n"/>
      <c r="I466" s="28" t="n"/>
    </row>
    <row r="467">
      <c r="A467" s="7" t="n"/>
      <c r="B467" s="8" t="n"/>
      <c r="C467" s="8" t="n"/>
      <c r="D467" s="8" t="n"/>
      <c r="E467" s="8" t="n">
        <v>14</v>
      </c>
      <c r="F467" s="8" t="n">
        <v>0</v>
      </c>
      <c r="G467" s="26" t="n"/>
      <c r="H467" s="27" t="n"/>
      <c r="I467" s="28" t="n"/>
    </row>
    <row r="468">
      <c r="A468" s="7" t="n"/>
      <c r="B468" s="8" t="n"/>
      <c r="C468" s="8" t="n"/>
      <c r="D468" s="8" t="n"/>
      <c r="E468" s="8" t="n">
        <v>13</v>
      </c>
      <c r="F468" s="8" t="n">
        <v>0</v>
      </c>
      <c r="G468" s="26" t="n"/>
      <c r="H468" s="27" t="n"/>
      <c r="I468" s="28" t="n"/>
    </row>
    <row r="469">
      <c r="A469" s="7" t="n"/>
      <c r="B469" s="8" t="n"/>
      <c r="C469" s="8" t="n"/>
      <c r="D469" s="8" t="n"/>
      <c r="E469" s="8" t="n">
        <v>12</v>
      </c>
      <c r="F469" s="8" t="n">
        <v>0</v>
      </c>
      <c r="G469" s="26" t="n"/>
      <c r="H469" s="27" t="n"/>
      <c r="I469" s="28" t="n"/>
    </row>
    <row r="470">
      <c r="A470" s="7" t="n"/>
      <c r="B470" s="8" t="n"/>
      <c r="C470" s="8" t="n"/>
      <c r="D470" s="8" t="n"/>
      <c r="E470" s="8" t="n">
        <v>11</v>
      </c>
      <c r="F470" s="8" t="n">
        <v>0</v>
      </c>
      <c r="G470" s="26" t="n"/>
      <c r="H470" s="27" t="n"/>
      <c r="I470" s="28" t="n"/>
    </row>
    <row r="471">
      <c r="A471" s="7" t="n"/>
      <c r="B471" s="8" t="n"/>
      <c r="C471" s="8" t="n"/>
      <c r="D471" s="8" t="n"/>
      <c r="E471" s="8" t="n">
        <v>10</v>
      </c>
      <c r="F471" s="8" t="n">
        <v>0</v>
      </c>
      <c r="G471" s="26" t="n"/>
      <c r="H471" s="27" t="n"/>
      <c r="I471" s="28" t="n"/>
    </row>
    <row r="472">
      <c r="A472" s="7" t="n"/>
      <c r="B472" s="8" t="n"/>
      <c r="C472" s="8" t="n"/>
      <c r="D472" s="8" t="n"/>
      <c r="E472" s="8" t="n">
        <v>9</v>
      </c>
      <c r="F472" s="8" t="n">
        <v>0</v>
      </c>
      <c r="G472" s="26" t="n"/>
      <c r="H472" s="27" t="n"/>
      <c r="I472" s="28" t="n"/>
    </row>
    <row r="473">
      <c r="A473" s="7" t="n"/>
      <c r="B473" s="8" t="n"/>
      <c r="C473" s="8" t="n"/>
      <c r="D473" s="8" t="n"/>
      <c r="E473" s="8" t="n">
        <v>8</v>
      </c>
      <c r="F473" s="8" t="n">
        <v>0</v>
      </c>
      <c r="G473" s="26" t="n"/>
      <c r="H473" s="27" t="n"/>
      <c r="I473" s="28" t="n"/>
    </row>
    <row r="474">
      <c r="A474" s="7" t="n"/>
      <c r="B474" s="8" t="n"/>
      <c r="C474" s="8" t="n"/>
      <c r="D474" s="8" t="str">
        <f>DEC2HEX(128*F474+64*F475+32*F476+16*F477+8*F478+4*F479+2*F480+1*F481,2)&amp;"h"</f>
        <v>00h</v>
      </c>
      <c r="E474" s="8" t="n">
        <v>7</v>
      </c>
      <c r="F474" s="8" t="n">
        <v>0</v>
      </c>
      <c r="G474" s="26" t="n"/>
      <c r="H474" s="27" t="n"/>
      <c r="I474" s="28" t="n"/>
    </row>
    <row r="475">
      <c r="A475" s="7" t="n"/>
      <c r="B475" s="8" t="n"/>
      <c r="C475" s="8" t="n"/>
      <c r="D475" s="8" t="n"/>
      <c r="E475" s="8" t="n">
        <v>6</v>
      </c>
      <c r="F475" s="8" t="n">
        <v>0</v>
      </c>
      <c r="G475" s="26" t="n"/>
      <c r="H475" s="27" t="n"/>
      <c r="I475" s="28" t="n"/>
    </row>
    <row r="476">
      <c r="A476" s="7" t="n"/>
      <c r="B476" s="8" t="n"/>
      <c r="C476" s="8" t="n"/>
      <c r="D476" s="8" t="n"/>
      <c r="E476" s="8" t="n">
        <v>5</v>
      </c>
      <c r="F476" s="8" t="n">
        <v>0</v>
      </c>
      <c r="G476" s="26" t="n"/>
      <c r="H476" s="27" t="n"/>
      <c r="I476" s="28" t="n"/>
    </row>
    <row r="477">
      <c r="A477" s="7" t="n"/>
      <c r="B477" s="8" t="n"/>
      <c r="C477" s="8" t="n"/>
      <c r="D477" s="8" t="n"/>
      <c r="E477" s="8" t="n">
        <v>4</v>
      </c>
      <c r="F477" s="8" t="n">
        <v>0</v>
      </c>
      <c r="G477" s="26" t="n"/>
      <c r="H477" s="27" t="n"/>
      <c r="I477" s="28" t="n"/>
    </row>
    <row r="478">
      <c r="A478" s="7" t="n"/>
      <c r="B478" s="8" t="n"/>
      <c r="C478" s="8" t="n"/>
      <c r="D478" s="8" t="n"/>
      <c r="E478" s="8" t="n">
        <v>3</v>
      </c>
      <c r="F478" s="8" t="n">
        <v>0</v>
      </c>
      <c r="G478" s="26" t="n"/>
      <c r="H478" s="27" t="n"/>
      <c r="I478" s="28" t="n"/>
    </row>
    <row r="479">
      <c r="A479" s="7" t="n"/>
      <c r="B479" s="8" t="n"/>
      <c r="C479" s="8" t="n"/>
      <c r="D479" s="8" t="n"/>
      <c r="E479" s="8" t="n">
        <v>2</v>
      </c>
      <c r="F479" s="8" t="n">
        <v>0</v>
      </c>
      <c r="G479" s="26" t="n"/>
      <c r="H479" s="27" t="n"/>
      <c r="I479" s="28" t="n"/>
    </row>
    <row r="480">
      <c r="A480" s="7" t="n"/>
      <c r="B480" s="8" t="n"/>
      <c r="C480" s="8" t="n"/>
      <c r="D480" s="8" t="n"/>
      <c r="E480" s="8" t="n">
        <v>1</v>
      </c>
      <c r="F480" s="8" t="n">
        <v>0</v>
      </c>
      <c r="G480" s="26" t="n"/>
      <c r="H480" s="27" t="n"/>
      <c r="I480" s="28" t="n"/>
    </row>
    <row r="481">
      <c r="A481" s="15" t="n"/>
      <c r="B481" s="16" t="n"/>
      <c r="C481" s="16" t="n"/>
      <c r="D481" s="16" t="n"/>
      <c r="E481" s="16" t="n">
        <v>0</v>
      </c>
      <c r="F481" s="16" t="n">
        <v>0</v>
      </c>
      <c r="G481" s="29" t="n"/>
      <c r="H481" s="30" t="n"/>
      <c r="I481" s="31" t="n"/>
    </row>
    <row r="482">
      <c r="A482" s="20" t="inlineStr">
        <is>
          <t>SLICE_IRQ_CNT</t>
        </is>
      </c>
      <c r="B482" s="21" t="str">
        <f>DEC2HEX(60,4)&amp;"h"</f>
        <v>003Ch</v>
      </c>
      <c r="C482" s="21" t="str">
        <f>LEFT(D482,2)&amp;LEFT(D490,2)&amp;LEFT(D498,2)&amp;LEFT(D506,2)&amp;"h"</f>
        <v>00000000h</v>
      </c>
      <c r="D482" s="21" t="str">
        <f>DEC2HEX(128*F482+64*F483+32*F484+16*F485+8*F486+4*F487+2*F488+1*F489,2)&amp;"h"</f>
        <v>00h</v>
      </c>
      <c r="E482" s="21" t="n">
        <v>31</v>
      </c>
      <c r="F482" s="21" t="n">
        <v>0</v>
      </c>
      <c r="G482" s="4" t="inlineStr">
        <is>
          <t>RESERVED</t>
        </is>
      </c>
      <c r="H482" s="5" t="inlineStr">
        <is>
          <t>RO</t>
        </is>
      </c>
      <c r="I482" s="6" t="inlineStr">
        <is>
          <t>Reserved; keep at reset value.</t>
        </is>
      </c>
    </row>
    <row r="483">
      <c r="A483" s="22" t="n"/>
      <c r="B483" s="23" t="n"/>
      <c r="C483" s="23" t="n"/>
      <c r="D483" s="23" t="n"/>
      <c r="E483" s="23" t="n">
        <v>30</v>
      </c>
      <c r="F483" s="23" t="n">
        <v>0</v>
      </c>
      <c r="G483" s="9" t="n"/>
      <c r="H483" s="10" t="n"/>
      <c r="I483" s="11" t="n"/>
    </row>
    <row r="484">
      <c r="A484" s="22" t="n"/>
      <c r="B484" s="23" t="n"/>
      <c r="C484" s="23" t="n"/>
      <c r="D484" s="23" t="n"/>
      <c r="E484" s="23" t="n">
        <v>29</v>
      </c>
      <c r="F484" s="23" t="n">
        <v>0</v>
      </c>
      <c r="G484" s="9" t="n"/>
      <c r="H484" s="10" t="n"/>
      <c r="I484" s="11" t="n"/>
    </row>
    <row r="485">
      <c r="A485" s="22" t="n"/>
      <c r="B485" s="23" t="n"/>
      <c r="C485" s="23" t="n"/>
      <c r="D485" s="23" t="n"/>
      <c r="E485" s="23" t="n">
        <v>28</v>
      </c>
      <c r="F485" s="23" t="n">
        <v>0</v>
      </c>
      <c r="G485" s="9" t="n"/>
      <c r="H485" s="10" t="n"/>
      <c r="I485" s="11" t="n"/>
    </row>
    <row r="486">
      <c r="A486" s="22" t="n"/>
      <c r="B486" s="23" t="n"/>
      <c r="C486" s="23" t="n"/>
      <c r="D486" s="23" t="n"/>
      <c r="E486" s="23" t="n">
        <v>27</v>
      </c>
      <c r="F486" s="23" t="n">
        <v>0</v>
      </c>
      <c r="G486" s="9" t="n"/>
      <c r="H486" s="10" t="n"/>
      <c r="I486" s="11" t="n"/>
    </row>
    <row r="487">
      <c r="A487" s="22" t="n"/>
      <c r="B487" s="23" t="n"/>
      <c r="C487" s="23" t="n"/>
      <c r="D487" s="23" t="n"/>
      <c r="E487" s="23" t="n">
        <v>26</v>
      </c>
      <c r="F487" s="23" t="n">
        <v>0</v>
      </c>
      <c r="G487" s="9" t="n"/>
      <c r="H487" s="10" t="n"/>
      <c r="I487" s="11" t="n"/>
    </row>
    <row r="488">
      <c r="A488" s="22" t="n"/>
      <c r="B488" s="23" t="n"/>
      <c r="C488" s="23" t="n"/>
      <c r="D488" s="23" t="n"/>
      <c r="E488" s="23" t="n">
        <v>25</v>
      </c>
      <c r="F488" s="23" t="n">
        <v>0</v>
      </c>
      <c r="G488" s="9" t="n"/>
      <c r="H488" s="10" t="n"/>
      <c r="I488" s="11" t="n"/>
    </row>
    <row r="489">
      <c r="A489" s="22" t="n"/>
      <c r="B489" s="23" t="n"/>
      <c r="C489" s="23" t="n"/>
      <c r="D489" s="23" t="n"/>
      <c r="E489" s="23" t="n">
        <v>24</v>
      </c>
      <c r="F489" s="23" t="n">
        <v>0</v>
      </c>
      <c r="G489" s="9" t="n"/>
      <c r="H489" s="10" t="n"/>
      <c r="I489" s="11" t="n"/>
    </row>
    <row r="490">
      <c r="A490" s="22" t="n"/>
      <c r="B490" s="23" t="n"/>
      <c r="C490" s="23" t="n"/>
      <c r="D490" s="23" t="str">
        <f>DEC2HEX(128*F490+64*F491+32*F492+16*F493+8*F494+4*F495+2*F496+1*F497,2)&amp;"h"</f>
        <v>00h</v>
      </c>
      <c r="E490" s="23" t="n">
        <v>23</v>
      </c>
      <c r="F490" s="23" t="n">
        <v>0</v>
      </c>
      <c r="G490" s="9" t="n"/>
      <c r="H490" s="10" t="n"/>
      <c r="I490" s="11" t="n"/>
    </row>
    <row r="491">
      <c r="A491" s="22" t="n"/>
      <c r="B491" s="23" t="n"/>
      <c r="C491" s="23" t="n"/>
      <c r="D491" s="23" t="n"/>
      <c r="E491" s="23" t="n">
        <v>22</v>
      </c>
      <c r="F491" s="23" t="n">
        <v>0</v>
      </c>
      <c r="G491" s="9" t="n"/>
      <c r="H491" s="10" t="n"/>
      <c r="I491" s="11" t="n"/>
    </row>
    <row r="492">
      <c r="A492" s="22" t="n"/>
      <c r="B492" s="23" t="n"/>
      <c r="C492" s="23" t="n"/>
      <c r="D492" s="23" t="n"/>
      <c r="E492" s="23" t="n">
        <v>21</v>
      </c>
      <c r="F492" s="23" t="n">
        <v>0</v>
      </c>
      <c r="G492" s="9" t="n"/>
      <c r="H492" s="10" t="n"/>
      <c r="I492" s="11" t="n"/>
    </row>
    <row r="493">
      <c r="A493" s="22" t="n"/>
      <c r="B493" s="23" t="n"/>
      <c r="C493" s="23" t="n"/>
      <c r="D493" s="23" t="n"/>
      <c r="E493" s="23" t="n">
        <v>20</v>
      </c>
      <c r="F493" s="23" t="n">
        <v>0</v>
      </c>
      <c r="G493" s="9" t="n"/>
      <c r="H493" s="10" t="n"/>
      <c r="I493" s="11" t="n"/>
    </row>
    <row r="494">
      <c r="A494" s="22" t="n"/>
      <c r="B494" s="23" t="n"/>
      <c r="C494" s="23" t="n"/>
      <c r="D494" s="23" t="n"/>
      <c r="E494" s="23" t="n">
        <v>19</v>
      </c>
      <c r="F494" s="23" t="n">
        <v>0</v>
      </c>
      <c r="G494" s="9" t="n"/>
      <c r="H494" s="10" t="n"/>
      <c r="I494" s="11" t="n"/>
    </row>
    <row r="495">
      <c r="A495" s="22" t="n"/>
      <c r="B495" s="23" t="n"/>
      <c r="C495" s="23" t="n"/>
      <c r="D495" s="23" t="n"/>
      <c r="E495" s="23" t="n">
        <v>18</v>
      </c>
      <c r="F495" s="23" t="n">
        <v>0</v>
      </c>
      <c r="G495" s="9" t="n"/>
      <c r="H495" s="10" t="n"/>
      <c r="I495" s="11" t="n"/>
    </row>
    <row r="496">
      <c r="A496" s="22" t="n"/>
      <c r="B496" s="23" t="n"/>
      <c r="C496" s="23" t="n"/>
      <c r="D496" s="23" t="n"/>
      <c r="E496" s="23" t="n">
        <v>17</v>
      </c>
      <c r="F496" s="23" t="n">
        <v>0</v>
      </c>
      <c r="G496" s="9" t="n"/>
      <c r="H496" s="10" t="n"/>
      <c r="I496" s="11" t="n"/>
    </row>
    <row r="497">
      <c r="A497" s="22" t="n"/>
      <c r="B497" s="23" t="n"/>
      <c r="C497" s="23" t="n"/>
      <c r="D497" s="23" t="n"/>
      <c r="E497" s="23" t="n">
        <v>16</v>
      </c>
      <c r="F497" s="23" t="n">
        <v>0</v>
      </c>
      <c r="G497" s="9" t="n"/>
      <c r="H497" s="10" t="n"/>
      <c r="I497" s="11" t="n"/>
    </row>
    <row r="498">
      <c r="A498" s="22" t="n"/>
      <c r="B498" s="23" t="n"/>
      <c r="C498" s="23" t="n"/>
      <c r="D498" s="23" t="str">
        <f>DEC2HEX(128*F498+64*F499+32*F500+16*F501+8*F502+4*F503+2*F504+1*F505,2)&amp;"h"</f>
        <v>00h</v>
      </c>
      <c r="E498" s="23" t="n">
        <v>15</v>
      </c>
      <c r="F498" s="23" t="n">
        <v>0</v>
      </c>
      <c r="G498" s="9" t="n"/>
      <c r="H498" s="10" t="n"/>
      <c r="I498" s="11" t="n"/>
    </row>
    <row r="499">
      <c r="A499" s="22" t="n"/>
      <c r="B499" s="23" t="n"/>
      <c r="C499" s="23" t="n"/>
      <c r="D499" s="23" t="n"/>
      <c r="E499" s="23" t="n">
        <v>14</v>
      </c>
      <c r="F499" s="23" t="n">
        <v>0</v>
      </c>
      <c r="G499" s="9" t="n"/>
      <c r="H499" s="10" t="n"/>
      <c r="I499" s="11" t="n"/>
    </row>
    <row r="500">
      <c r="A500" s="22" t="n"/>
      <c r="B500" s="23" t="n"/>
      <c r="C500" s="23" t="n"/>
      <c r="D500" s="23" t="n"/>
      <c r="E500" s="23" t="n">
        <v>13</v>
      </c>
      <c r="F500" s="23" t="n">
        <v>0</v>
      </c>
      <c r="G500" s="9" t="n"/>
      <c r="H500" s="10" t="n"/>
      <c r="I500" s="11" t="n"/>
    </row>
    <row r="501">
      <c r="A501" s="22" t="n"/>
      <c r="B501" s="23" t="n"/>
      <c r="C501" s="23" t="n"/>
      <c r="D501" s="23" t="n"/>
      <c r="E501" s="23" t="n">
        <v>12</v>
      </c>
      <c r="F501" s="23" t="n">
        <v>0</v>
      </c>
      <c r="G501" s="9" t="n"/>
      <c r="H501" s="10" t="n"/>
      <c r="I501" s="11" t="n"/>
    </row>
    <row r="502">
      <c r="A502" s="22" t="n"/>
      <c r="B502" s="23" t="n"/>
      <c r="C502" s="23" t="n"/>
      <c r="D502" s="23" t="n"/>
      <c r="E502" s="23" t="n">
        <v>11</v>
      </c>
      <c r="F502" s="23" t="n">
        <v>0</v>
      </c>
      <c r="G502" s="9" t="n"/>
      <c r="H502" s="10" t="n"/>
      <c r="I502" s="11" t="n"/>
    </row>
    <row r="503">
      <c r="A503" s="22" t="n"/>
      <c r="B503" s="23" t="n"/>
      <c r="C503" s="23" t="n"/>
      <c r="D503" s="23" t="n"/>
      <c r="E503" s="23" t="n">
        <v>10</v>
      </c>
      <c r="F503" s="23" t="n">
        <v>0</v>
      </c>
      <c r="G503" s="9" t="n"/>
      <c r="H503" s="10" t="n"/>
      <c r="I503" s="11" t="n"/>
    </row>
    <row r="504">
      <c r="A504" s="22" t="n"/>
      <c r="B504" s="23" t="n"/>
      <c r="C504" s="23" t="n"/>
      <c r="D504" s="23" t="n"/>
      <c r="E504" s="23" t="n">
        <v>9</v>
      </c>
      <c r="F504" s="23" t="n">
        <v>0</v>
      </c>
      <c r="G504" s="9" t="n"/>
      <c r="H504" s="10" t="n"/>
      <c r="I504" s="11" t="n"/>
    </row>
    <row r="505">
      <c r="A505" s="22" t="n"/>
      <c r="B505" s="23" t="n"/>
      <c r="C505" s="23" t="n"/>
      <c r="D505" s="23" t="n"/>
      <c r="E505" s="23" t="n">
        <v>8</v>
      </c>
      <c r="F505" s="23" t="n">
        <v>0</v>
      </c>
      <c r="G505" s="9" t="n"/>
      <c r="H505" s="10" t="n"/>
      <c r="I505" s="11" t="n"/>
    </row>
    <row r="506">
      <c r="A506" s="22" t="n"/>
      <c r="B506" s="23" t="n"/>
      <c r="C506" s="23" t="n"/>
      <c r="D506" s="23" t="str">
        <f>DEC2HEX(128*F506+64*F507+32*F508+16*F509+8*F510+4*F511+2*F512+1*F513,2)&amp;"h"</f>
        <v>00h</v>
      </c>
      <c r="E506" s="23" t="n">
        <v>7</v>
      </c>
      <c r="F506" s="23" t="n">
        <v>0</v>
      </c>
      <c r="G506" s="26" t="inlineStr">
        <is>
          <t>current_irq_slice_cnt</t>
        </is>
      </c>
      <c r="H506" s="27" t="inlineStr">
        <is>
          <t>RO</t>
        </is>
      </c>
      <c r="I506" s="28" t="inlineStr">
        <is>
          <t>中断发生时的slice计数</t>
        </is>
      </c>
    </row>
    <row r="507">
      <c r="A507" s="22" t="n"/>
      <c r="B507" s="23" t="n"/>
      <c r="C507" s="23" t="n"/>
      <c r="D507" s="23" t="n"/>
      <c r="E507" s="23" t="n">
        <v>6</v>
      </c>
      <c r="F507" s="23" t="n">
        <v>0</v>
      </c>
      <c r="G507" s="26" t="n"/>
      <c r="H507" s="27" t="n"/>
      <c r="I507" s="28" t="n"/>
    </row>
    <row r="508">
      <c r="A508" s="22" t="n"/>
      <c r="B508" s="23" t="n"/>
      <c r="C508" s="23" t="n"/>
      <c r="D508" s="23" t="n"/>
      <c r="E508" s="23" t="n">
        <v>5</v>
      </c>
      <c r="F508" s="23" t="n">
        <v>0</v>
      </c>
      <c r="G508" s="26" t="n"/>
      <c r="H508" s="27" t="n"/>
      <c r="I508" s="28" t="n"/>
    </row>
    <row r="509">
      <c r="A509" s="22" t="n"/>
      <c r="B509" s="23" t="n"/>
      <c r="C509" s="23" t="n"/>
      <c r="D509" s="23" t="n"/>
      <c r="E509" s="23" t="n">
        <v>4</v>
      </c>
      <c r="F509" s="23" t="n">
        <v>0</v>
      </c>
      <c r="G509" s="26" t="n"/>
      <c r="H509" s="27" t="n"/>
      <c r="I509" s="28" t="n"/>
    </row>
    <row r="510">
      <c r="A510" s="22" t="n"/>
      <c r="B510" s="23" t="n"/>
      <c r="C510" s="23" t="n"/>
      <c r="D510" s="23" t="n"/>
      <c r="E510" s="23" t="n">
        <v>3</v>
      </c>
      <c r="F510" s="23" t="n">
        <v>0</v>
      </c>
      <c r="G510" s="26" t="n"/>
      <c r="H510" s="27" t="n"/>
      <c r="I510" s="28" t="n"/>
    </row>
    <row r="511">
      <c r="A511" s="22" t="n"/>
      <c r="B511" s="23" t="n"/>
      <c r="C511" s="23" t="n"/>
      <c r="D511" s="23" t="n"/>
      <c r="E511" s="23" t="n">
        <v>2</v>
      </c>
      <c r="F511" s="23" t="n">
        <v>0</v>
      </c>
      <c r="G511" s="26" t="n"/>
      <c r="H511" s="27" t="n"/>
      <c r="I511" s="28" t="n"/>
    </row>
    <row r="512">
      <c r="A512" s="22" t="n"/>
      <c r="B512" s="23" t="n"/>
      <c r="C512" s="23" t="n"/>
      <c r="D512" s="23" t="n"/>
      <c r="E512" s="23" t="n">
        <v>1</v>
      </c>
      <c r="F512" s="23" t="n">
        <v>0</v>
      </c>
      <c r="G512" s="26" t="n"/>
      <c r="H512" s="27" t="n"/>
      <c r="I512" s="28" t="n"/>
    </row>
    <row r="513">
      <c r="A513" s="24" t="n"/>
      <c r="B513" s="25" t="n"/>
      <c r="C513" s="25" t="n"/>
      <c r="D513" s="25" t="n"/>
      <c r="E513" s="25" t="n">
        <v>0</v>
      </c>
      <c r="F513" s="25" t="n">
        <v>0</v>
      </c>
      <c r="G513" s="29" t="n"/>
      <c r="H513" s="30" t="n"/>
      <c r="I513" s="31" t="n"/>
    </row>
  </sheetData>
  <autoFilter ref="A1:I513"/>
  <mergeCells count="217">
    <mergeCell ref="I74:I97"/>
    <mergeCell ref="H426:H449"/>
    <mergeCell ref="A290:A321"/>
    <mergeCell ref="D26:D33"/>
    <mergeCell ref="D82:D89"/>
    <mergeCell ref="D442:D449"/>
    <mergeCell ref="H74:H97"/>
    <mergeCell ref="I354:I385"/>
    <mergeCell ref="A450:A481"/>
    <mergeCell ref="B482:B513"/>
    <mergeCell ref="C450:C481"/>
    <mergeCell ref="I54:I57"/>
    <mergeCell ref="D10:D17"/>
    <mergeCell ref="C354:C385"/>
    <mergeCell ref="H202:H225"/>
    <mergeCell ref="D50:D57"/>
    <mergeCell ref="A98:A129"/>
    <mergeCell ref="H138:H161"/>
    <mergeCell ref="B66:B97"/>
    <mergeCell ref="C98:C129"/>
    <mergeCell ref="G402:G405"/>
    <mergeCell ref="D34:D41"/>
    <mergeCell ref="D258:D265"/>
    <mergeCell ref="H266:H289"/>
    <mergeCell ref="H130:H137"/>
    <mergeCell ref="C322:C353"/>
    <mergeCell ref="B130:B161"/>
    <mergeCell ref="D242:D249"/>
    <mergeCell ref="D2:D9"/>
    <mergeCell ref="G194:G201"/>
    <mergeCell ref="G186:G193"/>
    <mergeCell ref="G26:G29"/>
    <mergeCell ref="G258:G265"/>
    <mergeCell ref="H306:H321"/>
    <mergeCell ref="I258:I265"/>
    <mergeCell ref="I202:I225"/>
    <mergeCell ref="G58:G61"/>
    <mergeCell ref="I450:I457"/>
    <mergeCell ref="I58:I61"/>
    <mergeCell ref="G322:G353"/>
    <mergeCell ref="G18:G25"/>
    <mergeCell ref="I426:I449"/>
    <mergeCell ref="I18:I25"/>
    <mergeCell ref="H62:H65"/>
    <mergeCell ref="H66:H73"/>
    <mergeCell ref="I186:I193"/>
    <mergeCell ref="B258:B289"/>
    <mergeCell ref="A2:A33"/>
    <mergeCell ref="C2:C33"/>
    <mergeCell ref="D506:D513"/>
    <mergeCell ref="H186:H193"/>
    <mergeCell ref="B226:B257"/>
    <mergeCell ref="D290:D297"/>
    <mergeCell ref="C66:C97"/>
    <mergeCell ref="I394:I397"/>
    <mergeCell ref="D418:D425"/>
    <mergeCell ref="H482:H505"/>
    <mergeCell ref="H26:H29"/>
    <mergeCell ref="A482:A513"/>
    <mergeCell ref="A34:A65"/>
    <mergeCell ref="D362:D369"/>
    <mergeCell ref="G34:G53"/>
    <mergeCell ref="C34:C65"/>
    <mergeCell ref="D314:D321"/>
    <mergeCell ref="D178:D185"/>
    <mergeCell ref="G506:G513"/>
    <mergeCell ref="H322:H353"/>
    <mergeCell ref="I106:I129"/>
    <mergeCell ref="B194:B225"/>
    <mergeCell ref="I234:I257"/>
    <mergeCell ref="H58:H61"/>
    <mergeCell ref="D330:D337"/>
    <mergeCell ref="G386:G389"/>
    <mergeCell ref="D338:D345"/>
    <mergeCell ref="I386:I389"/>
    <mergeCell ref="G130:G137"/>
    <mergeCell ref="D90:D97"/>
    <mergeCell ref="H458:H481"/>
    <mergeCell ref="H162:H184"/>
    <mergeCell ref="D170:D177"/>
    <mergeCell ref="G62:G65"/>
    <mergeCell ref="H226:H233"/>
    <mergeCell ref="I62:I65"/>
    <mergeCell ref="D154:D161"/>
    <mergeCell ref="A162:A193"/>
    <mergeCell ref="C162:C193"/>
    <mergeCell ref="D234:D241"/>
    <mergeCell ref="G410:G416"/>
    <mergeCell ref="G482:G505"/>
    <mergeCell ref="I410:I416"/>
    <mergeCell ref="G354:G385"/>
    <mergeCell ref="G138:G161"/>
    <mergeCell ref="G2:G17"/>
    <mergeCell ref="I2:I17"/>
    <mergeCell ref="G54:G57"/>
    <mergeCell ref="C226:C257"/>
    <mergeCell ref="I506:I513"/>
    <mergeCell ref="D66:D73"/>
    <mergeCell ref="D18:D25"/>
    <mergeCell ref="D146:D153"/>
    <mergeCell ref="B290:B321"/>
    <mergeCell ref="G418:G425"/>
    <mergeCell ref="I418:I425"/>
    <mergeCell ref="D482:D489"/>
    <mergeCell ref="H354:H385"/>
    <mergeCell ref="D130:D137"/>
    <mergeCell ref="H34:H53"/>
    <mergeCell ref="I98:I105"/>
    <mergeCell ref="I266:I289"/>
    <mergeCell ref="A322:A353"/>
    <mergeCell ref="B354:B385"/>
    <mergeCell ref="D394:D401"/>
    <mergeCell ref="B418:B449"/>
    <mergeCell ref="A130:A161"/>
    <mergeCell ref="G450:G457"/>
    <mergeCell ref="D458:D465"/>
    <mergeCell ref="D370:D377"/>
    <mergeCell ref="B386:B417"/>
    <mergeCell ref="D218:D225"/>
    <mergeCell ref="G306:G321"/>
    <mergeCell ref="G74:G97"/>
    <mergeCell ref="B450:B481"/>
    <mergeCell ref="D266:D273"/>
    <mergeCell ref="D186:D193"/>
    <mergeCell ref="C386:C417"/>
    <mergeCell ref="G66:G73"/>
    <mergeCell ref="H98:H105"/>
    <mergeCell ref="G234:G257"/>
    <mergeCell ref="I66:I73"/>
    <mergeCell ref="C290:C321"/>
    <mergeCell ref="A66:A97"/>
    <mergeCell ref="I138:I161"/>
    <mergeCell ref="D306:D313"/>
    <mergeCell ref="B322:B353"/>
    <mergeCell ref="G394:G397"/>
    <mergeCell ref="D434:D441"/>
    <mergeCell ref="D210:D217"/>
    <mergeCell ref="D490:D497"/>
    <mergeCell ref="D426:D433"/>
    <mergeCell ref="B2:B33"/>
    <mergeCell ref="I306:I321"/>
    <mergeCell ref="I130:I137"/>
    <mergeCell ref="D194:D201"/>
    <mergeCell ref="H194:H201"/>
    <mergeCell ref="D274:D281"/>
    <mergeCell ref="C418:C449"/>
    <mergeCell ref="D122:D129"/>
    <mergeCell ref="G162:G184"/>
    <mergeCell ref="I482:I505"/>
    <mergeCell ref="D162:D169"/>
    <mergeCell ref="I402:I405"/>
    <mergeCell ref="D58:D65"/>
    <mergeCell ref="D114:D121"/>
    <mergeCell ref="H258:H265"/>
    <mergeCell ref="B34:B65"/>
    <mergeCell ref="H402:H405"/>
    <mergeCell ref="D226:D233"/>
    <mergeCell ref="D322:D329"/>
    <mergeCell ref="D42:D49"/>
    <mergeCell ref="H106:H129"/>
    <mergeCell ref="A194:A225"/>
    <mergeCell ref="H234:H257"/>
    <mergeCell ref="C194:C225"/>
    <mergeCell ref="I322:I353"/>
    <mergeCell ref="H18:H25"/>
    <mergeCell ref="D74:D81"/>
    <mergeCell ref="H386:H389"/>
    <mergeCell ref="H290:H304"/>
    <mergeCell ref="D250:D257"/>
    <mergeCell ref="I26:I29"/>
    <mergeCell ref="A258:A289"/>
    <mergeCell ref="G458:G481"/>
    <mergeCell ref="C258:C289"/>
    <mergeCell ref="D138:D145"/>
    <mergeCell ref="H394:H397"/>
    <mergeCell ref="G226:G233"/>
    <mergeCell ref="A226:A257"/>
    <mergeCell ref="G426:G449"/>
    <mergeCell ref="D498:D505"/>
    <mergeCell ref="D354:D361"/>
    <mergeCell ref="D410:D417"/>
    <mergeCell ref="H410:H416"/>
    <mergeCell ref="G98:G105"/>
    <mergeCell ref="G266:G289"/>
    <mergeCell ref="H506:H513"/>
    <mergeCell ref="I194:I201"/>
    <mergeCell ref="D282:D289"/>
    <mergeCell ref="D474:D481"/>
    <mergeCell ref="H418:H425"/>
    <mergeCell ref="C482:C513"/>
    <mergeCell ref="D346:D353"/>
    <mergeCell ref="D402:D409"/>
    <mergeCell ref="I34:I53"/>
    <mergeCell ref="A354:A385"/>
    <mergeCell ref="D298:D305"/>
    <mergeCell ref="I458:I481"/>
    <mergeCell ref="I162:I184"/>
    <mergeCell ref="B98:B129"/>
    <mergeCell ref="G290:G304"/>
    <mergeCell ref="D386:D393"/>
    <mergeCell ref="I226:I233"/>
    <mergeCell ref="I290:I304"/>
    <mergeCell ref="G202:G225"/>
    <mergeCell ref="D106:D113"/>
    <mergeCell ref="D466:D473"/>
    <mergeCell ref="A418:A449"/>
    <mergeCell ref="G106:G129"/>
    <mergeCell ref="B162:B193"/>
    <mergeCell ref="C130:C161"/>
    <mergeCell ref="D450:D457"/>
    <mergeCell ref="H450:H457"/>
    <mergeCell ref="H2:H17"/>
    <mergeCell ref="D202:D209"/>
    <mergeCell ref="H54:H57"/>
    <mergeCell ref="D378:D385"/>
    <mergeCell ref="D98:D105"/>
    <mergeCell ref="A386:A417"/>
  </mergeCells>
  <pageMargins left="0.25" right="0.2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2026-10-28T08:05:35Z</dcterms:created>
  <dcterms:modified xmlns:dcterms="http://purl.org/dc/terms/" xmlns:xsi="http://www.w3.org/2001/XMLSchema-instance" xsi:type="dcterms:W3CDTF">2026-10-28T08:05:36Z</dcterms:modified>
</cp:coreProperties>
</file>